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40.xml" ContentType="application/vnd.ms-office.activeX+xml"/>
  <Override PartName="/xl/activeX/activeX59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37.bin" ContentType="application/vnd.ms-office.activeX"/>
  <Override PartName="/xl/activeX/activeX55.bin" ContentType="application/vnd.ms-office.activeX"/>
  <Override PartName="/xl/ctrlProps/ctrlProp2.xml" ContentType="application/vnd.ms-excel.controlproperties+xml"/>
  <Default Extension="bin" ContentType="application/vnd.openxmlformats-officedocument.spreadsheetml.printerSettings"/>
  <Default Extension="png" ContentType="image/png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78.xml" ContentType="application/vnd.ms-office.activeX+xml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67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74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activeX/activeX63.xml" ContentType="application/vnd.ms-office.activeX+xml"/>
  <Override PartName="/docProps/app.xml" ContentType="application/vnd.openxmlformats-officedocument.extended-properties+xml"/>
  <Override PartName="/xl/activeX/activeX23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70.xml" ContentType="application/vnd.ms-office.activeX+xml"/>
  <Default Extension="vml" ContentType="application/vnd.openxmlformats-officedocument.vmlDrawing"/>
  <Default Extension="gif" ContentType="image/gif"/>
  <Override PartName="/xl/activeX/activeX12.xml" ContentType="application/vnd.ms-office.activeX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activeX/activeX38.bin" ContentType="application/vnd.ms-office.activeX"/>
  <Override PartName="/xl/activeX/activeX49.bin" ContentType="application/vnd.ms-office.activeX"/>
  <Override PartName="/xl/activeX/activeX67.bin" ContentType="application/vnd.ms-office.activeX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xl/activeX/activeX45.bin" ContentType="application/vnd.ms-office.activeX"/>
  <Override PartName="/xl/activeX/activeX47.bin" ContentType="application/vnd.ms-office.activeX"/>
  <Override PartName="/xl/activeX/activeX56.bin" ContentType="application/vnd.ms-office.activeX"/>
  <Override PartName="/xl/activeX/activeX65.bin" ContentType="application/vnd.ms-office.activeX"/>
  <Override PartName="/xl/activeX/activeX74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activeX/activeX68.xml" ContentType="application/vnd.ms-office.activeX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worksheets/sheet6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0" windowWidth="19245" windowHeight="8865" tabRatio="747"/>
  </bookViews>
  <sheets>
    <sheet name="control" sheetId="21" r:id="rId1"/>
    <sheet name="cash" sheetId="34" r:id="rId2"/>
    <sheet name="checking_account" sheetId="32" r:id="rId3"/>
    <sheet name="saving_account" sheetId="35" r:id="rId4"/>
    <sheet name="credit_card" sheetId="33" r:id="rId5"/>
    <sheet name="summaries" sheetId="11" r:id="rId6"/>
    <sheet name="formatos" sheetId="36" state="hidden" r:id="rId7"/>
  </sheets>
  <functionGroups/>
  <definedNames>
    <definedName name="_xlnm._FilterDatabase" localSheetId="1" hidden="1">cash!$A$2:$T$7</definedName>
    <definedName name="_xlnm._FilterDatabase" localSheetId="2" hidden="1">checking_account!$B$2:$L$2</definedName>
    <definedName name="_xlnm._FilterDatabase" localSheetId="4" hidden="1">credit_card!$A$2:$S$7</definedName>
    <definedName name="_xlnm._FilterDatabase" localSheetId="6" hidden="1">formatos!$B$2:$L$2</definedName>
    <definedName name="_xlnm._FilterDatabase" localSheetId="3" hidden="1">saving_account!$B$2:$L$2</definedName>
    <definedName name="categories_list">summaries!$A$3:$A$25</definedName>
    <definedName name="initial_balance_checking_account" localSheetId="6">formatos!$H$2</definedName>
    <definedName name="initial_balance_checking_account">checking_account!$H$2</definedName>
    <definedName name="initial_balance_credit_card">credit_card!$H$2</definedName>
    <definedName name="initial_balance_saving_account">saving_account!$H$2</definedName>
    <definedName name="Z_00458BE7_7A66_42C6_9B86_347986F16F61_.wvu.Cols" localSheetId="2" hidden="1">checking_account!$B:$H,checking_account!$L:$L,checking_account!#REF!</definedName>
    <definedName name="Z_00458BE7_7A66_42C6_9B86_347986F16F61_.wvu.Cols" localSheetId="6" hidden="1">formatos!$B:$H,formatos!$L:$L,formatos!#REF!</definedName>
    <definedName name="Z_00458BE7_7A66_42C6_9B86_347986F16F61_.wvu.Cols" localSheetId="3" hidden="1">saving_account!$B:$H,saving_account!$L:$L,saving_account!#REF!</definedName>
    <definedName name="Z_00458BE7_7A66_42C6_9B86_347986F16F61_.wvu.FilterData" localSheetId="2" hidden="1">checking_account!$B$1:$L$1</definedName>
    <definedName name="Z_00458BE7_7A66_42C6_9B86_347986F16F61_.wvu.FilterData" localSheetId="6" hidden="1">formatos!$B$1:$L$1</definedName>
    <definedName name="Z_00458BE7_7A66_42C6_9B86_347986F16F61_.wvu.FilterData" localSheetId="3" hidden="1">saving_account!$B$1:$L$1</definedName>
    <definedName name="Z_60B942CB_3861_422F_92A7_43D109C3EB7D_.wvu.Cols" localSheetId="2" hidden="1">checking_account!$C:$H,checking_account!$L:$L,checking_account!#REF!</definedName>
    <definedName name="Z_60B942CB_3861_422F_92A7_43D109C3EB7D_.wvu.Cols" localSheetId="6" hidden="1">formatos!$C:$H,formatos!$L:$L,formatos!#REF!</definedName>
    <definedName name="Z_60B942CB_3861_422F_92A7_43D109C3EB7D_.wvu.Cols" localSheetId="3" hidden="1">saving_account!$C:$H,saving_account!$L:$L,saving_account!#REF!</definedName>
    <definedName name="Z_60B942CB_3861_422F_92A7_43D109C3EB7D_.wvu.FilterData" localSheetId="2" hidden="1">checking_account!$B$1:$L$1</definedName>
    <definedName name="Z_60B942CB_3861_422F_92A7_43D109C3EB7D_.wvu.FilterData" localSheetId="6" hidden="1">formatos!$B$1:$L$1</definedName>
    <definedName name="Z_60B942CB_3861_422F_92A7_43D109C3EB7D_.wvu.FilterData" localSheetId="3" hidden="1">saving_account!$B$1:$L$1</definedName>
    <definedName name="Z_CC857249_CEDB_4142_A6B9_3EBFAEB6B34A_.wvu.Cols" localSheetId="2" hidden="1">checking_account!$L:$L,checking_account!#REF!</definedName>
    <definedName name="Z_CC857249_CEDB_4142_A6B9_3EBFAEB6B34A_.wvu.Cols" localSheetId="6" hidden="1">formatos!$L:$L,formatos!#REF!</definedName>
    <definedName name="Z_CC857249_CEDB_4142_A6B9_3EBFAEB6B34A_.wvu.Cols" localSheetId="3" hidden="1">saving_account!$L:$L,saving_account!#REF!</definedName>
    <definedName name="Z_CC857249_CEDB_4142_A6B9_3EBFAEB6B34A_.wvu.FilterData" localSheetId="2" hidden="1">checking_account!$B$1:$L$1</definedName>
    <definedName name="Z_CC857249_CEDB_4142_A6B9_3EBFAEB6B34A_.wvu.FilterData" localSheetId="6" hidden="1">formatos!$B$1:$L$1</definedName>
    <definedName name="Z_CC857249_CEDB_4142_A6B9_3EBFAEB6B34A_.wvu.FilterData" localSheetId="3" hidden="1">saving_account!$B$1:$L$1</definedName>
  </definedNames>
  <calcPr calcId="125725"/>
  <customWorkbookViews>
    <customWorkbookView name="moi_basico" guid="{60B942CB-3861-422F-92A7-43D109C3EB7D}" maximized="1" windowWidth="1020" windowHeight="624" tabRatio="660" activeSheetId="7" showStatusbar="0"/>
    <customWorkbookView name="moi_cajamadrid" guid="{00458BE7-7A66-42C6-9B86-347986F16F61}" includePrintSettings="0" maximized="1" windowWidth="1020" windowHeight="624" tabRatio="660" activeSheetId="7" showStatusbar="0"/>
    <customWorkbookView name="moi_todo" guid="{CC857249-CEDB-4142-A6B9-3EBFAEB6B34A}" includePrintSettings="0" maximized="1" windowWidth="1020" windowHeight="624" tabRatio="660" activeSheetId="7" showStatusbar="0"/>
  </customWorkbookViews>
</workbook>
</file>

<file path=xl/calcChain.xml><?xml version="1.0" encoding="utf-8"?>
<calcChain xmlns="http://schemas.openxmlformats.org/spreadsheetml/2006/main">
  <c r="F6" i="33"/>
  <c r="M8" i="34"/>
  <c r="G8" s="1"/>
  <c r="G7"/>
  <c r="G15" i="36"/>
  <c r="F15"/>
  <c r="E15"/>
  <c r="G14"/>
  <c r="F14"/>
  <c r="E14"/>
  <c r="G13"/>
  <c r="F13"/>
  <c r="E13"/>
  <c r="G12"/>
  <c r="F12"/>
  <c r="E12"/>
  <c r="G11"/>
  <c r="F11"/>
  <c r="E11"/>
  <c r="G10"/>
  <c r="F10"/>
  <c r="E10"/>
  <c r="G9"/>
  <c r="F9"/>
  <c r="E9"/>
  <c r="G8"/>
  <c r="F8"/>
  <c r="E8"/>
  <c r="G7"/>
  <c r="F7"/>
  <c r="E7"/>
  <c r="G6"/>
  <c r="F6"/>
  <c r="E6"/>
  <c r="G5"/>
  <c r="F5"/>
  <c r="E5"/>
  <c r="G4"/>
  <c r="F4"/>
  <c r="E4"/>
  <c r="G3"/>
  <c r="H3" s="1"/>
  <c r="H4" s="1"/>
  <c r="H5" s="1"/>
  <c r="H6" s="1"/>
  <c r="H7" s="1"/>
  <c r="H8" s="1"/>
  <c r="H9" s="1"/>
  <c r="H10" s="1"/>
  <c r="H11" s="1"/>
  <c r="H12" s="1"/>
  <c r="H13" s="1"/>
  <c r="H14" s="1"/>
  <c r="H15" s="1"/>
  <c r="F3"/>
  <c r="E3"/>
  <c r="I31" i="11"/>
  <c r="G31"/>
  <c r="E31"/>
  <c r="I27"/>
  <c r="G27"/>
  <c r="E27"/>
  <c r="C27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I25"/>
  <c r="I24"/>
  <c r="I23"/>
  <c r="I22"/>
  <c r="I21"/>
  <c r="I20"/>
  <c r="I18"/>
  <c r="I16"/>
  <c r="I15"/>
  <c r="I13"/>
  <c r="I12"/>
  <c r="I10"/>
  <c r="I9"/>
  <c r="I8"/>
  <c r="I7"/>
  <c r="I6"/>
  <c r="I5"/>
  <c r="I3"/>
  <c r="G25"/>
  <c r="G24"/>
  <c r="G23"/>
  <c r="G21"/>
  <c r="G20"/>
  <c r="G19"/>
  <c r="G18"/>
  <c r="G17"/>
  <c r="G16"/>
  <c r="G15"/>
  <c r="G14"/>
  <c r="G13"/>
  <c r="G12"/>
  <c r="G11"/>
  <c r="G10"/>
  <c r="G9"/>
  <c r="G8"/>
  <c r="G7"/>
  <c r="G6"/>
  <c r="G4"/>
  <c r="G3"/>
  <c r="E22"/>
  <c r="E20"/>
  <c r="E19"/>
  <c r="E17"/>
  <c r="E15"/>
  <c r="E13"/>
  <c r="E12"/>
  <c r="E9"/>
  <c r="E8"/>
  <c r="E7"/>
  <c r="E4"/>
  <c r="E3"/>
  <c r="C25"/>
  <c r="C24"/>
  <c r="C23"/>
  <c r="C22"/>
  <c r="C21"/>
  <c r="C20"/>
  <c r="C19"/>
  <c r="C18"/>
  <c r="C16"/>
  <c r="C15"/>
  <c r="C14"/>
  <c r="C13"/>
  <c r="C12"/>
  <c r="C11"/>
  <c r="C10"/>
  <c r="C6"/>
  <c r="C5"/>
  <c r="C4"/>
  <c r="C3"/>
  <c r="F7" i="33" l="1"/>
  <c r="F5"/>
  <c r="F4"/>
  <c r="F3"/>
  <c r="G4" i="35"/>
  <c r="G22" i="11" s="1"/>
  <c r="F4" i="35"/>
  <c r="E4"/>
  <c r="G3"/>
  <c r="F3"/>
  <c r="E3"/>
  <c r="F14" i="32"/>
  <c r="F13"/>
  <c r="F15"/>
  <c r="F12"/>
  <c r="F11"/>
  <c r="F10"/>
  <c r="F9"/>
  <c r="F8"/>
  <c r="F7"/>
  <c r="F6"/>
  <c r="F5"/>
  <c r="F4"/>
  <c r="F3"/>
  <c r="G6" i="34"/>
  <c r="G5"/>
  <c r="C8" i="11" s="1"/>
  <c r="G4" i="34"/>
  <c r="C7" i="11" s="1"/>
  <c r="G3" i="34"/>
  <c r="C9" i="11" l="1"/>
  <c r="H3" i="35"/>
  <c r="G5" i="11"/>
  <c r="C17"/>
  <c r="D27"/>
  <c r="D29" s="1"/>
  <c r="H4" i="35"/>
  <c r="G33" i="11" s="1"/>
  <c r="G7" i="33"/>
  <c r="I4" i="11" s="1"/>
  <c r="E7" i="33"/>
  <c r="G6"/>
  <c r="I19" i="11" s="1"/>
  <c r="E6" i="33"/>
  <c r="G5"/>
  <c r="I17" i="11" s="1"/>
  <c r="E5" i="33"/>
  <c r="G4"/>
  <c r="I11" i="11" s="1"/>
  <c r="E4" i="33"/>
  <c r="G3"/>
  <c r="H3" s="1"/>
  <c r="E3"/>
  <c r="G14" i="32"/>
  <c r="E23" i="11" s="1"/>
  <c r="E14" i="32"/>
  <c r="G13"/>
  <c r="E5" i="11" s="1"/>
  <c r="E13" i="32"/>
  <c r="G15"/>
  <c r="E15"/>
  <c r="G12"/>
  <c r="E24" i="11" s="1"/>
  <c r="E12" i="32"/>
  <c r="G11"/>
  <c r="E21" i="11" s="1"/>
  <c r="E11" i="32"/>
  <c r="G10"/>
  <c r="E11" i="11" s="1"/>
  <c r="E10" i="32"/>
  <c r="G9"/>
  <c r="E9"/>
  <c r="G8"/>
  <c r="E10" i="11" s="1"/>
  <c r="E8" i="32"/>
  <c r="G7"/>
  <c r="E6" i="11" s="1"/>
  <c r="E7" i="32"/>
  <c r="G6"/>
  <c r="E14" i="11" s="1"/>
  <c r="E6" i="32"/>
  <c r="G5"/>
  <c r="E18" i="11" s="1"/>
  <c r="E5" i="32"/>
  <c r="G4"/>
  <c r="E16" i="11" s="1"/>
  <c r="E4" i="32"/>
  <c r="G3"/>
  <c r="E3"/>
  <c r="C29" i="11" l="1"/>
  <c r="H27"/>
  <c r="H29" s="1"/>
  <c r="H3" i="32"/>
  <c r="E25" i="11"/>
  <c r="E29" s="1"/>
  <c r="E32" s="1"/>
  <c r="I14"/>
  <c r="H4" i="33"/>
  <c r="H4" i="32"/>
  <c r="H5" s="1"/>
  <c r="H6" s="1"/>
  <c r="H7" s="1"/>
  <c r="H8" s="1"/>
  <c r="H9" s="1"/>
  <c r="H10" s="1"/>
  <c r="H11" s="1"/>
  <c r="H12" s="1"/>
  <c r="H13" s="1"/>
  <c r="H14" s="1"/>
  <c r="H15" s="1"/>
  <c r="F27" i="11" l="1"/>
  <c r="H5" i="33"/>
  <c r="H6" s="1"/>
  <c r="H7" s="1"/>
  <c r="E33" i="11"/>
  <c r="I33" l="1"/>
  <c r="J27"/>
  <c r="J29" s="1"/>
  <c r="I29" l="1"/>
  <c r="I32" s="1"/>
  <c r="G29"/>
  <c r="G32" s="1"/>
  <c r="F29" l="1"/>
</calcChain>
</file>

<file path=xl/sharedStrings.xml><?xml version="1.0" encoding="utf-8"?>
<sst xmlns="http://schemas.openxmlformats.org/spreadsheetml/2006/main" count="312" uniqueCount="145">
  <si>
    <t>Fecha Movimiento</t>
  </si>
  <si>
    <t>Concepto</t>
  </si>
  <si>
    <t>Importe</t>
  </si>
  <si>
    <t>Divisa</t>
  </si>
  <si>
    <t>REINTEGRO CAJERO AUTOMATICO</t>
  </si>
  <si>
    <t>Euros</t>
  </si>
  <si>
    <t>CARGO COMPRA</t>
  </si>
  <si>
    <t>RECIBOS VARIOS</t>
  </si>
  <si>
    <t>ABONO DE INTERESES</t>
  </si>
  <si>
    <t>RECIBO DE LUZ</t>
  </si>
  <si>
    <t>CARGO AMORTIZACION PRESTAMO</t>
  </si>
  <si>
    <t>(Category)</t>
  </si>
  <si>
    <t>(Amount)</t>
  </si>
  <si>
    <t>(Memo)</t>
  </si>
  <si>
    <t>(Date)</t>
  </si>
  <si>
    <t>amortización hipoteca</t>
  </si>
  <si>
    <t>Gasto - Gasolina</t>
  </si>
  <si>
    <t>Pasivo - Hipoteca</t>
  </si>
  <si>
    <t>Y</t>
  </si>
  <si>
    <t>Activo - Metálico</t>
  </si>
  <si>
    <t>Gasto - Ocio</t>
  </si>
  <si>
    <t>Ingreso - Nómina</t>
  </si>
  <si>
    <t>Activo - Cuenta de Ahorro</t>
  </si>
  <si>
    <t>Pasivo - Tarjeta de Crédito</t>
  </si>
  <si>
    <t>Gastos</t>
  </si>
  <si>
    <t>Ingresos</t>
  </si>
  <si>
    <t>Gasto - Electricidad</t>
  </si>
  <si>
    <t>Gasto - Revistas y libros</t>
  </si>
  <si>
    <t>(Exported)</t>
  </si>
  <si>
    <t>¿Ya exportado?</t>
  </si>
  <si>
    <t>Auxiliar</t>
  </si>
  <si>
    <t>n</t>
  </si>
  <si>
    <t>gasto mensual tarjeta crédito</t>
  </si>
  <si>
    <t>Area para datos descargados de la web del banco</t>
  </si>
  <si>
    <t>revista parapente</t>
  </si>
  <si>
    <t>Gasto - Teléfono</t>
  </si>
  <si>
    <t>teléfono móvil</t>
  </si>
  <si>
    <t>Respuestos helicóptero control remoto</t>
  </si>
  <si>
    <t>Saco del cajero</t>
  </si>
  <si>
    <t>Compañía eléctrica</t>
  </si>
  <si>
    <t>Gasolina</t>
  </si>
  <si>
    <t>Ingreso - Intereses cuenta corriente</t>
  </si>
  <si>
    <t>Intereses</t>
  </si>
  <si>
    <t>Cargo tarjeta</t>
  </si>
  <si>
    <t>Paso dinero a la cuenta ahorro</t>
  </si>
  <si>
    <t>Nómina</t>
  </si>
  <si>
    <t>INGRESO NÓMINA</t>
  </si>
  <si>
    <t>Formulas auxiliares</t>
  </si>
  <si>
    <t>Tu comentario</t>
  </si>
  <si>
    <t>Saldo</t>
  </si>
  <si>
    <t>Tipo de categoría</t>
  </si>
  <si>
    <t>TOTAL</t>
  </si>
  <si>
    <t>TRANSFERENCIA A MI CUENTA AHORRO</t>
  </si>
  <si>
    <t>Texto para poner en negrita la fila:</t>
  </si>
  <si>
    <t>Pago recibo</t>
  </si>
  <si>
    <t>C:\qif-import</t>
  </si>
  <si>
    <t>This software is 
Open Source and Freeware</t>
  </si>
  <si>
    <t>https://github.com/OneClickToQif/OneClickToQif</t>
  </si>
  <si>
    <t>Area for logging</t>
  </si>
  <si>
    <t>Comment</t>
  </si>
  <si>
    <t>Source</t>
  </si>
  <si>
    <t>Already Exported?</t>
  </si>
  <si>
    <t>Date</t>
  </si>
  <si>
    <t>Income</t>
  </si>
  <si>
    <t>Expenses</t>
  </si>
  <si>
    <t>Acquisition of blue jacket paid in cash</t>
  </si>
  <si>
    <t>1000 euros loan to Paul</t>
  </si>
  <si>
    <t>Weekly grocery shopping</t>
  </si>
  <si>
    <t>Paragliding tandem flight</t>
  </si>
  <si>
    <t>Skates purchase</t>
  </si>
  <si>
    <t>Paul refunds me 1000 euros</t>
  </si>
  <si>
    <t>Asset - Company shares</t>
  </si>
  <si>
    <t>Asset - Checking account</t>
  </si>
  <si>
    <t>Asset - Saving Account</t>
  </si>
  <si>
    <t>Asset - Cash</t>
  </si>
  <si>
    <t>Asset - Paul's Loan</t>
  </si>
  <si>
    <t>Expense - Grocery</t>
  </si>
  <si>
    <t>Expense - Fuel</t>
  </si>
  <si>
    <t>Expense - Sport</t>
  </si>
  <si>
    <t>Expense - Electricity</t>
  </si>
  <si>
    <t>Expense - Taxes</t>
  </si>
  <si>
    <t>Expense - Mortgage interest</t>
  </si>
  <si>
    <t>Expense - Entertainment</t>
  </si>
  <si>
    <t>Expense - Car repairs</t>
  </si>
  <si>
    <t>Expense - Clothing</t>
  </si>
  <si>
    <t>Expense - Phone</t>
  </si>
  <si>
    <t>Expense - Travels</t>
  </si>
  <si>
    <t>Income - Company dividend</t>
  </si>
  <si>
    <t>Income - Checking account interest</t>
  </si>
  <si>
    <t>Income - Saving account interest</t>
  </si>
  <si>
    <t>Income - Payroll</t>
  </si>
  <si>
    <t>Liability - Mortgage</t>
  </si>
  <si>
    <t>Liability - Credit Card</t>
  </si>
  <si>
    <t>Initial Balance</t>
  </si>
  <si>
    <t>Current Balance (Initial + Total)</t>
  </si>
  <si>
    <t>Current Balance (From Account tab)</t>
  </si>
  <si>
    <t>Types of categories</t>
  </si>
  <si>
    <t>Sum</t>
  </si>
  <si>
    <t># transactions</t>
  </si>
  <si>
    <t>Checking Account</t>
  </si>
  <si>
    <t>Saving Account</t>
  </si>
  <si>
    <t>Credit Card</t>
  </si>
  <si>
    <t>Cash</t>
  </si>
  <si>
    <t>Expense - Books and magazines</t>
  </si>
  <si>
    <t>Paragliding magazing</t>
  </si>
  <si>
    <t>Cellular</t>
  </si>
  <si>
    <t>Remote control helicopter spare parts</t>
  </si>
  <si>
    <t>ATM withdrawal</t>
  </si>
  <si>
    <t>Electricity bill</t>
  </si>
  <si>
    <t>Fuel</t>
  </si>
  <si>
    <t>Interest</t>
  </si>
  <si>
    <t>Mortgage amortization</t>
  </si>
  <si>
    <t>Transfer money to saving account</t>
  </si>
  <si>
    <t>Payroll</t>
  </si>
  <si>
    <t>Monthly credit card payment</t>
  </si>
  <si>
    <t>SEVERAL RECEIPTS</t>
  </si>
  <si>
    <t>PAYROLL</t>
  </si>
  <si>
    <t>TRANSFER</t>
  </si>
  <si>
    <t>AMORTIZATION</t>
  </si>
  <si>
    <t>SHOPPING</t>
  </si>
  <si>
    <t>ATM WITHDRAWAL</t>
  </si>
  <si>
    <t>ELECTRICITY BILL</t>
  </si>
  <si>
    <t>Auxiliary formulas</t>
  </si>
  <si>
    <t>Balance</t>
  </si>
  <si>
    <t>Area for data downloaded from the bank website</t>
  </si>
  <si>
    <t>Very low interest</t>
  </si>
  <si>
    <t>Transfer money from checking account</t>
  </si>
  <si>
    <t>SELF TRANSFER TO ACCOUNT</t>
  </si>
  <si>
    <t>INTEREST</t>
  </si>
  <si>
    <t>RECEIPT PAYMENT</t>
  </si>
  <si>
    <t>Travel to Canary islands</t>
  </si>
  <si>
    <t>Blue sweater</t>
  </si>
  <si>
    <t>Hamlet stage play</t>
  </si>
  <si>
    <t>SHAKESPEARE PRODUCTIONES</t>
  </si>
  <si>
    <t>FUEL</t>
  </si>
  <si>
    <t>GROCERIES</t>
  </si>
  <si>
    <t>TENERIFE TRAVELS</t>
  </si>
  <si>
    <t>Export log</t>
  </si>
  <si>
    <t>Sheet tab</t>
  </si>
  <si>
    <t>Transaction Date</t>
  </si>
  <si>
    <t>Concept</t>
  </si>
  <si>
    <t>Amount</t>
  </si>
  <si>
    <t>Currency</t>
  </si>
  <si>
    <t>Non categorized transactions</t>
  </si>
  <si>
    <t>Folder:</t>
  </si>
</sst>
</file>

<file path=xl/styles.xml><?xml version="1.0" encoding="utf-8"?>
<styleSheet xmlns="http://schemas.openxmlformats.org/spreadsheetml/2006/main">
  <numFmts count="4">
    <numFmt numFmtId="8" formatCode="#,##0.00\ &quot;€&quot;;[Red]\-#,##0.00\ &quot;€&quot;"/>
    <numFmt numFmtId="164" formatCode="[$-C0A]d\-mmm\-yyyy;@"/>
    <numFmt numFmtId="165" formatCode="#,##0.00\ _€"/>
    <numFmt numFmtId="167" formatCode="m/d/yyyy;@"/>
  </numFmts>
  <fonts count="3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trike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  <font>
      <u/>
      <sz val="7"/>
      <color theme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u/>
      <sz val="14"/>
      <color theme="1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7">
    <xf numFmtId="0" fontId="0" fillId="0" borderId="0"/>
    <xf numFmtId="0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5" borderId="0" applyNumberFormat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8" applyNumberFormat="0" applyAlignment="0" applyProtection="0"/>
    <xf numFmtId="0" fontId="16" fillId="9" borderId="9" applyNumberFormat="0" applyAlignment="0" applyProtection="0"/>
    <xf numFmtId="0" fontId="17" fillId="9" borderId="8" applyNumberFormat="0" applyAlignment="0" applyProtection="0"/>
    <xf numFmtId="0" fontId="18" fillId="0" borderId="10" applyNumberFormat="0" applyFill="0" applyAlignment="0" applyProtection="0"/>
    <xf numFmtId="0" fontId="19" fillId="10" borderId="11" applyNumberFormat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3" fillId="35" borderId="0" applyNumberFormat="0" applyBorder="0" applyAlignment="0" applyProtection="0"/>
    <xf numFmtId="0" fontId="1" fillId="0" borderId="0"/>
    <xf numFmtId="0" fontId="1" fillId="11" borderId="12" applyNumberFormat="0" applyFont="0" applyAlignment="0" applyProtection="0"/>
    <xf numFmtId="0" fontId="2" fillId="0" borderId="0"/>
    <xf numFmtId="0" fontId="24" fillId="0" borderId="0"/>
    <xf numFmtId="0" fontId="27" fillId="0" borderId="0" applyNumberFormat="0" applyFill="0" applyBorder="0" applyAlignment="0" applyProtection="0">
      <alignment vertical="top"/>
      <protection locked="0"/>
    </xf>
  </cellStyleXfs>
  <cellXfs count="83">
    <xf numFmtId="0" fontId="0" fillId="0" borderId="0" xfId="0"/>
    <xf numFmtId="0" fontId="0" fillId="0" borderId="1" xfId="0" applyBorder="1"/>
    <xf numFmtId="0" fontId="0" fillId="0" borderId="0" xfId="0" applyBorder="1"/>
    <xf numFmtId="0" fontId="3" fillId="2" borderId="0" xfId="0" applyFont="1" applyFill="1" applyBorder="1" applyAlignment="1">
      <alignment horizontal="left"/>
    </xf>
    <xf numFmtId="0" fontId="0" fillId="0" borderId="2" xfId="0" applyBorder="1"/>
    <xf numFmtId="2" fontId="3" fillId="2" borderId="0" xfId="0" applyNumberFormat="1" applyFont="1" applyFill="1" applyBorder="1" applyAlignment="1">
      <alignment horizontal="left"/>
    </xf>
    <xf numFmtId="8" fontId="3" fillId="2" borderId="0" xfId="0" applyNumberFormat="1" applyFont="1" applyFill="1" applyBorder="1" applyAlignment="1">
      <alignment horizontal="left"/>
    </xf>
    <xf numFmtId="8" fontId="3" fillId="2" borderId="2" xfId="0" applyNumberFormat="1" applyFont="1" applyFill="1" applyBorder="1" applyAlignment="1">
      <alignment horizontal="left"/>
    </xf>
    <xf numFmtId="8" fontId="0" fillId="0" borderId="0" xfId="0" applyNumberFormat="1" applyBorder="1"/>
    <xf numFmtId="0" fontId="0" fillId="3" borderId="0" xfId="0" applyFill="1" applyBorder="1"/>
    <xf numFmtId="2" fontId="0" fillId="3" borderId="0" xfId="0" applyNumberFormat="1" applyFill="1" applyBorder="1"/>
    <xf numFmtId="2" fontId="3" fillId="2" borderId="1" xfId="0" applyNumberFormat="1" applyFont="1" applyFill="1" applyBorder="1" applyAlignment="1">
      <alignment horizontal="left"/>
    </xf>
    <xf numFmtId="8" fontId="7" fillId="3" borderId="2" xfId="0" applyNumberFormat="1" applyFont="1" applyFill="1" applyBorder="1"/>
    <xf numFmtId="0" fontId="2" fillId="0" borderId="0" xfId="0" applyFont="1"/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2" fontId="3" fillId="2" borderId="3" xfId="0" applyNumberFormat="1" applyFont="1" applyFill="1" applyBorder="1" applyAlignment="1">
      <alignment horizontal="left"/>
    </xf>
    <xf numFmtId="1" fontId="7" fillId="3" borderId="1" xfId="0" applyNumberFormat="1" applyFont="1" applyFill="1" applyBorder="1"/>
    <xf numFmtId="1" fontId="3" fillId="2" borderId="4" xfId="0" applyNumberFormat="1" applyFont="1" applyFill="1" applyBorder="1" applyAlignment="1">
      <alignment horizontal="left"/>
    </xf>
    <xf numFmtId="1" fontId="0" fillId="0" borderId="1" xfId="0" applyNumberFormat="1" applyBorder="1"/>
    <xf numFmtId="0" fontId="25" fillId="0" borderId="0" xfId="0" applyFont="1" applyFill="1" applyBorder="1" applyAlignment="1">
      <alignment horizontal="center" vertical="center" wrapText="1"/>
    </xf>
    <xf numFmtId="16" fontId="3" fillId="0" borderId="0" xfId="0" applyNumberFormat="1" applyFont="1"/>
    <xf numFmtId="0" fontId="0" fillId="36" borderId="0" xfId="0" applyFill="1" applyBorder="1"/>
    <xf numFmtId="2" fontId="2" fillId="36" borderId="0" xfId="0" applyNumberFormat="1" applyFont="1" applyFill="1" applyBorder="1"/>
    <xf numFmtId="2" fontId="0" fillId="36" borderId="0" xfId="0" applyNumberFormat="1" applyFill="1" applyBorder="1"/>
    <xf numFmtId="8" fontId="2" fillId="36" borderId="2" xfId="0" applyNumberFormat="1" applyFont="1" applyFill="1" applyBorder="1"/>
    <xf numFmtId="1" fontId="2" fillId="36" borderId="1" xfId="0" applyNumberFormat="1" applyFont="1" applyFill="1" applyBorder="1"/>
    <xf numFmtId="1" fontId="2" fillId="4" borderId="1" xfId="0" applyNumberFormat="1" applyFont="1" applyFill="1" applyBorder="1"/>
    <xf numFmtId="2" fontId="3" fillId="37" borderId="0" xfId="0" applyNumberFormat="1" applyFont="1" applyFill="1" applyBorder="1" applyAlignment="1">
      <alignment horizontal="left"/>
    </xf>
    <xf numFmtId="8" fontId="3" fillId="37" borderId="0" xfId="0" applyNumberFormat="1" applyFont="1" applyFill="1" applyBorder="1" applyAlignment="1">
      <alignment horizontal="left"/>
    </xf>
    <xf numFmtId="8" fontId="2" fillId="37" borderId="2" xfId="0" applyNumberFormat="1" applyFont="1" applyFill="1" applyBorder="1"/>
    <xf numFmtId="1" fontId="2" fillId="37" borderId="1" xfId="0" applyNumberFormat="1" applyFont="1" applyFill="1" applyBorder="1"/>
    <xf numFmtId="0" fontId="3" fillId="37" borderId="0" xfId="0" applyFont="1" applyFill="1" applyBorder="1" applyAlignment="1">
      <alignment horizontal="left"/>
    </xf>
    <xf numFmtId="2" fontId="5" fillId="4" borderId="0" xfId="0" applyNumberFormat="1" applyFont="1" applyFill="1" applyBorder="1" applyAlignment="1">
      <alignment horizontal="right"/>
    </xf>
    <xf numFmtId="0" fontId="3" fillId="4" borderId="0" xfId="0" applyFont="1" applyFill="1" applyBorder="1" applyAlignment="1">
      <alignment horizontal="center" vertical="center" wrapText="1"/>
    </xf>
    <xf numFmtId="8" fontId="5" fillId="4" borderId="2" xfId="0" applyNumberFormat="1" applyFont="1" applyFill="1" applyBorder="1"/>
    <xf numFmtId="0" fontId="2" fillId="4" borderId="1" xfId="0" applyNumberFormat="1" applyFont="1" applyFill="1" applyBorder="1"/>
    <xf numFmtId="2" fontId="0" fillId="4" borderId="0" xfId="0" applyNumberFormat="1" applyFill="1" applyBorder="1"/>
    <xf numFmtId="8" fontId="6" fillId="4" borderId="0" xfId="0" applyNumberFormat="1" applyFont="1" applyFill="1" applyBorder="1"/>
    <xf numFmtId="8" fontId="5" fillId="4" borderId="2" xfId="0" applyNumberFormat="1" applyFont="1" applyFill="1" applyBorder="1" applyAlignment="1">
      <alignment horizontal="right"/>
    </xf>
    <xf numFmtId="1" fontId="6" fillId="4" borderId="1" xfId="0" applyNumberFormat="1" applyFont="1" applyFill="1" applyBorder="1"/>
    <xf numFmtId="0" fontId="6" fillId="4" borderId="0" xfId="0" applyFont="1" applyFill="1" applyBorder="1"/>
    <xf numFmtId="2" fontId="3" fillId="4" borderId="0" xfId="0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right" vertical="center" wrapText="1"/>
    </xf>
    <xf numFmtId="2" fontId="2" fillId="0" borderId="0" xfId="0" applyNumberFormat="1" applyFont="1" applyFill="1" applyBorder="1"/>
    <xf numFmtId="0" fontId="2" fillId="0" borderId="0" xfId="0" applyFont="1" applyFill="1" applyBorder="1"/>
    <xf numFmtId="14" fontId="3" fillId="0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right"/>
    </xf>
    <xf numFmtId="0" fontId="26" fillId="0" borderId="0" xfId="0" applyFont="1" applyFill="1" applyBorder="1" applyAlignment="1">
      <alignment horizontal="center" vertical="center" wrapText="1"/>
    </xf>
    <xf numFmtId="0" fontId="25" fillId="38" borderId="15" xfId="0" applyFont="1" applyFill="1" applyBorder="1" applyAlignment="1">
      <alignment horizontal="center" vertical="center" wrapText="1"/>
    </xf>
    <xf numFmtId="0" fontId="2" fillId="38" borderId="16" xfId="0" applyFont="1" applyFill="1" applyBorder="1" applyAlignment="1">
      <alignment horizontal="center" vertical="center" wrapText="1"/>
    </xf>
    <xf numFmtId="0" fontId="26" fillId="0" borderId="2" xfId="0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center" vertical="center" wrapText="1"/>
    </xf>
    <xf numFmtId="0" fontId="25" fillId="39" borderId="4" xfId="0" applyFont="1" applyFill="1" applyBorder="1" applyAlignment="1">
      <alignment horizontal="center" vertical="center" wrapText="1"/>
    </xf>
    <xf numFmtId="164" fontId="2" fillId="39" borderId="2" xfId="0" applyNumberFormat="1" applyFont="1" applyFill="1" applyBorder="1" applyAlignment="1">
      <alignment horizontal="center" vertical="center" wrapText="1"/>
    </xf>
    <xf numFmtId="165" fontId="2" fillId="39" borderId="0" xfId="0" applyNumberFormat="1" applyFont="1" applyFill="1" applyBorder="1" applyAlignment="1">
      <alignment horizontal="right" vertical="center" wrapText="1"/>
    </xf>
    <xf numFmtId="2" fontId="2" fillId="39" borderId="1" xfId="0" applyNumberFormat="1" applyFont="1" applyFill="1" applyBorder="1" applyAlignment="1">
      <alignment horizontal="right" vertical="center" wrapText="1"/>
    </xf>
    <xf numFmtId="2" fontId="2" fillId="0" borderId="0" xfId="0" applyNumberFormat="1" applyFont="1" applyFill="1" applyBorder="1" applyAlignment="1">
      <alignment horizontal="center"/>
    </xf>
    <xf numFmtId="2" fontId="25" fillId="0" borderId="0" xfId="0" applyNumberFormat="1" applyFont="1" applyFill="1" applyBorder="1" applyAlignment="1">
      <alignment horizontal="right" vertical="center" wrapText="1"/>
    </xf>
    <xf numFmtId="0" fontId="26" fillId="0" borderId="16" xfId="0" applyFont="1" applyFill="1" applyBorder="1" applyAlignment="1">
      <alignment horizontal="center" vertical="center" wrapText="1"/>
    </xf>
    <xf numFmtId="2" fontId="26" fillId="0" borderId="0" xfId="0" applyNumberFormat="1" applyFont="1" applyFill="1" applyBorder="1" applyAlignment="1">
      <alignment horizontal="center" vertical="center" wrapText="1"/>
    </xf>
    <xf numFmtId="2" fontId="5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 vertical="center" wrapText="1"/>
    </xf>
    <xf numFmtId="8" fontId="5" fillId="0" borderId="2" xfId="0" applyNumberFormat="1" applyFont="1" applyFill="1" applyBorder="1"/>
    <xf numFmtId="1" fontId="2" fillId="0" borderId="1" xfId="0" applyNumberFormat="1" applyFont="1" applyFill="1" applyBorder="1"/>
    <xf numFmtId="0" fontId="2" fillId="0" borderId="1" xfId="0" applyNumberFormat="1" applyFont="1" applyFill="1" applyBorder="1"/>
    <xf numFmtId="2" fontId="0" fillId="0" borderId="0" xfId="0" applyNumberFormat="1" applyFill="1" applyBorder="1"/>
    <xf numFmtId="164" fontId="2" fillId="39" borderId="0" xfId="0" applyNumberFormat="1" applyFont="1" applyFill="1" applyBorder="1" applyAlignment="1">
      <alignment horizontal="left" vertical="center" wrapText="1"/>
    </xf>
    <xf numFmtId="0" fontId="3" fillId="40" borderId="0" xfId="0" applyFont="1" applyFill="1"/>
    <xf numFmtId="0" fontId="28" fillId="0" borderId="0" xfId="0" applyFont="1" applyAlignment="1">
      <alignment vertical="center"/>
    </xf>
    <xf numFmtId="0" fontId="3" fillId="41" borderId="0" xfId="0" applyFont="1" applyFill="1"/>
    <xf numFmtId="0" fontId="29" fillId="0" borderId="0" xfId="0" applyFont="1" applyAlignment="1">
      <alignment horizontal="center" vertical="center" wrapText="1"/>
    </xf>
    <xf numFmtId="0" fontId="3" fillId="40" borderId="0" xfId="0" applyFont="1" applyFill="1" applyAlignment="1">
      <alignment horizontal="right"/>
    </xf>
    <xf numFmtId="0" fontId="30" fillId="0" borderId="0" xfId="46" applyFont="1" applyAlignment="1" applyProtection="1">
      <alignment horizontal="center" vertical="center"/>
    </xf>
    <xf numFmtId="164" fontId="25" fillId="39" borderId="3" xfId="0" applyNumberFormat="1" applyFont="1" applyFill="1" applyBorder="1" applyAlignment="1">
      <alignment horizontal="center" vertical="center" wrapText="1"/>
    </xf>
    <xf numFmtId="164" fontId="25" fillId="39" borderId="14" xfId="0" applyNumberFormat="1" applyFont="1" applyFill="1" applyBorder="1" applyAlignment="1">
      <alignment horizontal="center" vertical="center" wrapText="1"/>
    </xf>
    <xf numFmtId="164" fontId="25" fillId="0" borderId="2" xfId="0" applyNumberFormat="1" applyFont="1" applyFill="1" applyBorder="1" applyAlignment="1">
      <alignment horizontal="center" vertical="center" wrapText="1"/>
    </xf>
    <xf numFmtId="164" fontId="25" fillId="0" borderId="0" xfId="0" applyNumberFormat="1" applyFont="1" applyFill="1" applyBorder="1" applyAlignment="1">
      <alignment horizontal="center" vertical="center" wrapText="1"/>
    </xf>
    <xf numFmtId="167" fontId="26" fillId="0" borderId="0" xfId="0" applyNumberFormat="1" applyFont="1" applyFill="1" applyBorder="1" applyAlignment="1">
      <alignment horizontal="center" vertical="center" wrapText="1"/>
    </xf>
    <xf numFmtId="167" fontId="2" fillId="0" borderId="0" xfId="0" applyNumberFormat="1" applyFont="1" applyFill="1" applyBorder="1" applyAlignment="1">
      <alignment horizontal="center" vertical="center" wrapText="1"/>
    </xf>
  </cellXfs>
  <cellStyles count="47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Euro" xfId="1"/>
    <cellStyle name="Hipervínculo" xfId="46" builtinId="8"/>
    <cellStyle name="Incorrecto" xfId="8" builtinId="27" customBuiltin="1"/>
    <cellStyle name="Neutral" xfId="9" builtinId="28" customBuiltin="1"/>
    <cellStyle name="Normal" xfId="0" builtinId="0"/>
    <cellStyle name="Normal 2" xfId="42"/>
    <cellStyle name="Normal 3" xfId="44"/>
    <cellStyle name="Normal 4" xfId="45"/>
    <cellStyle name="Notas 2" xfId="43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otal" xfId="17" builtinId="25" customBuiltin="1"/>
  </cellStyles>
  <dxfs count="122"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  <color rgb="FFFF4F4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1.emf"/><Relationship Id="rId18" Type="http://schemas.openxmlformats.org/officeDocument/2006/relationships/image" Target="../media/image46.emf"/><Relationship Id="rId26" Type="http://schemas.openxmlformats.org/officeDocument/2006/relationships/image" Target="../media/image54.emf"/><Relationship Id="rId3" Type="http://schemas.openxmlformats.org/officeDocument/2006/relationships/image" Target="../media/image31.emf"/><Relationship Id="rId21" Type="http://schemas.openxmlformats.org/officeDocument/2006/relationships/image" Target="../media/image49.emf"/><Relationship Id="rId7" Type="http://schemas.openxmlformats.org/officeDocument/2006/relationships/image" Target="../media/image35.emf"/><Relationship Id="rId12" Type="http://schemas.openxmlformats.org/officeDocument/2006/relationships/image" Target="../media/image40.emf"/><Relationship Id="rId17" Type="http://schemas.openxmlformats.org/officeDocument/2006/relationships/image" Target="../media/image45.emf"/><Relationship Id="rId25" Type="http://schemas.openxmlformats.org/officeDocument/2006/relationships/image" Target="../media/image53.emf"/><Relationship Id="rId2" Type="http://schemas.openxmlformats.org/officeDocument/2006/relationships/image" Target="../media/image30.emf"/><Relationship Id="rId16" Type="http://schemas.openxmlformats.org/officeDocument/2006/relationships/image" Target="../media/image44.emf"/><Relationship Id="rId20" Type="http://schemas.openxmlformats.org/officeDocument/2006/relationships/image" Target="../media/image48.emf"/><Relationship Id="rId1" Type="http://schemas.openxmlformats.org/officeDocument/2006/relationships/image" Target="../media/image29.emf"/><Relationship Id="rId6" Type="http://schemas.openxmlformats.org/officeDocument/2006/relationships/image" Target="../media/image34.emf"/><Relationship Id="rId11" Type="http://schemas.openxmlformats.org/officeDocument/2006/relationships/image" Target="../media/image39.emf"/><Relationship Id="rId24" Type="http://schemas.openxmlformats.org/officeDocument/2006/relationships/image" Target="../media/image52.emf"/><Relationship Id="rId5" Type="http://schemas.openxmlformats.org/officeDocument/2006/relationships/image" Target="../media/image33.emf"/><Relationship Id="rId15" Type="http://schemas.openxmlformats.org/officeDocument/2006/relationships/image" Target="../media/image43.emf"/><Relationship Id="rId23" Type="http://schemas.openxmlformats.org/officeDocument/2006/relationships/image" Target="../media/image51.emf"/><Relationship Id="rId10" Type="http://schemas.openxmlformats.org/officeDocument/2006/relationships/image" Target="../media/image38.emf"/><Relationship Id="rId19" Type="http://schemas.openxmlformats.org/officeDocument/2006/relationships/image" Target="../media/image47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Relationship Id="rId14" Type="http://schemas.openxmlformats.org/officeDocument/2006/relationships/image" Target="../media/image42.emf"/><Relationship Id="rId22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7.emf"/><Relationship Id="rId18" Type="http://schemas.openxmlformats.org/officeDocument/2006/relationships/image" Target="../media/image72.emf"/><Relationship Id="rId26" Type="http://schemas.openxmlformats.org/officeDocument/2006/relationships/image" Target="../media/image80.emf"/><Relationship Id="rId3" Type="http://schemas.openxmlformats.org/officeDocument/2006/relationships/image" Target="../media/image57.emf"/><Relationship Id="rId21" Type="http://schemas.openxmlformats.org/officeDocument/2006/relationships/image" Target="../media/image75.emf"/><Relationship Id="rId7" Type="http://schemas.openxmlformats.org/officeDocument/2006/relationships/image" Target="../media/image61.emf"/><Relationship Id="rId12" Type="http://schemas.openxmlformats.org/officeDocument/2006/relationships/image" Target="../media/image66.emf"/><Relationship Id="rId17" Type="http://schemas.openxmlformats.org/officeDocument/2006/relationships/image" Target="../media/image71.emf"/><Relationship Id="rId25" Type="http://schemas.openxmlformats.org/officeDocument/2006/relationships/image" Target="../media/image79.emf"/><Relationship Id="rId2" Type="http://schemas.openxmlformats.org/officeDocument/2006/relationships/image" Target="../media/image56.emf"/><Relationship Id="rId16" Type="http://schemas.openxmlformats.org/officeDocument/2006/relationships/image" Target="../media/image70.emf"/><Relationship Id="rId20" Type="http://schemas.openxmlformats.org/officeDocument/2006/relationships/image" Target="../media/image74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11" Type="http://schemas.openxmlformats.org/officeDocument/2006/relationships/image" Target="../media/image65.emf"/><Relationship Id="rId24" Type="http://schemas.openxmlformats.org/officeDocument/2006/relationships/image" Target="../media/image78.emf"/><Relationship Id="rId5" Type="http://schemas.openxmlformats.org/officeDocument/2006/relationships/image" Target="../media/image59.emf"/><Relationship Id="rId15" Type="http://schemas.openxmlformats.org/officeDocument/2006/relationships/image" Target="../media/image69.emf"/><Relationship Id="rId23" Type="http://schemas.openxmlformats.org/officeDocument/2006/relationships/image" Target="../media/image77.emf"/><Relationship Id="rId10" Type="http://schemas.openxmlformats.org/officeDocument/2006/relationships/image" Target="../media/image64.emf"/><Relationship Id="rId19" Type="http://schemas.openxmlformats.org/officeDocument/2006/relationships/image" Target="../media/image73.emf"/><Relationship Id="rId4" Type="http://schemas.openxmlformats.org/officeDocument/2006/relationships/image" Target="../media/image58.emf"/><Relationship Id="rId9" Type="http://schemas.openxmlformats.org/officeDocument/2006/relationships/image" Target="../media/image63.emf"/><Relationship Id="rId14" Type="http://schemas.openxmlformats.org/officeDocument/2006/relationships/image" Target="../media/image68.emf"/><Relationship Id="rId22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198384</xdr:colOff>
      <xdr:row>0</xdr:row>
      <xdr:rowOff>87318</xdr:rowOff>
    </xdr:from>
    <xdr:to>
      <xdr:col>3</xdr:col>
      <xdr:colOff>1941459</xdr:colOff>
      <xdr:row>6</xdr:row>
      <xdr:rowOff>120655</xdr:rowOff>
    </xdr:to>
    <xdr:pic>
      <xdr:nvPicPr>
        <xdr:cNvPr id="2" name="1 Imagen" descr="logo_with_link_small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85009" y="87318"/>
          <a:ext cx="1743075" cy="1533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OneClickToQif/OneClickToQif" TargetMode="External"/><Relationship Id="rId6" Type="http://schemas.openxmlformats.org/officeDocument/2006/relationships/ctrlProp" Target="../ctrlProps/ctrlProp2.xml"/><Relationship Id="rId5" Type="http://schemas.openxmlformats.org/officeDocument/2006/relationships/image" Target="../media/image1.png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control" Target="../activeX/activeX37.xml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50.xml"/><Relationship Id="rId3" Type="http://schemas.openxmlformats.org/officeDocument/2006/relationships/control" Target="../activeX/activeX27.xml"/><Relationship Id="rId21" Type="http://schemas.openxmlformats.org/officeDocument/2006/relationships/control" Target="../activeX/activeX45.xml"/><Relationship Id="rId7" Type="http://schemas.openxmlformats.org/officeDocument/2006/relationships/control" Target="../activeX/activeX31.xml"/><Relationship Id="rId12" Type="http://schemas.openxmlformats.org/officeDocument/2006/relationships/control" Target="../activeX/activeX36.xml"/><Relationship Id="rId17" Type="http://schemas.openxmlformats.org/officeDocument/2006/relationships/control" Target="../activeX/activeX41.xml"/><Relationship Id="rId25" Type="http://schemas.openxmlformats.org/officeDocument/2006/relationships/control" Target="../activeX/activeX49.xml"/><Relationship Id="rId2" Type="http://schemas.openxmlformats.org/officeDocument/2006/relationships/vmlDrawing" Target="../drawings/vmlDrawing3.vml"/><Relationship Id="rId16" Type="http://schemas.openxmlformats.org/officeDocument/2006/relationships/control" Target="../activeX/activeX40.xml"/><Relationship Id="rId20" Type="http://schemas.openxmlformats.org/officeDocument/2006/relationships/control" Target="../activeX/activeX4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0.xml"/><Relationship Id="rId11" Type="http://schemas.openxmlformats.org/officeDocument/2006/relationships/control" Target="../activeX/activeX35.xml"/><Relationship Id="rId24" Type="http://schemas.openxmlformats.org/officeDocument/2006/relationships/control" Target="../activeX/activeX48.xml"/><Relationship Id="rId5" Type="http://schemas.openxmlformats.org/officeDocument/2006/relationships/control" Target="../activeX/activeX29.xml"/><Relationship Id="rId15" Type="http://schemas.openxmlformats.org/officeDocument/2006/relationships/control" Target="../activeX/activeX39.xml"/><Relationship Id="rId23" Type="http://schemas.openxmlformats.org/officeDocument/2006/relationships/control" Target="../activeX/activeX47.xml"/><Relationship Id="rId28" Type="http://schemas.openxmlformats.org/officeDocument/2006/relationships/control" Target="../activeX/activeX52.xml"/><Relationship Id="rId10" Type="http://schemas.openxmlformats.org/officeDocument/2006/relationships/control" Target="../activeX/activeX34.xml"/><Relationship Id="rId19" Type="http://schemas.openxmlformats.org/officeDocument/2006/relationships/control" Target="../activeX/activeX43.xml"/><Relationship Id="rId4" Type="http://schemas.openxmlformats.org/officeDocument/2006/relationships/control" Target="../activeX/activeX28.xml"/><Relationship Id="rId9" Type="http://schemas.openxmlformats.org/officeDocument/2006/relationships/control" Target="../activeX/activeX33.xml"/><Relationship Id="rId14" Type="http://schemas.openxmlformats.org/officeDocument/2006/relationships/control" Target="../activeX/activeX38.xml"/><Relationship Id="rId22" Type="http://schemas.openxmlformats.org/officeDocument/2006/relationships/control" Target="../activeX/activeX46.xml"/><Relationship Id="rId27" Type="http://schemas.openxmlformats.org/officeDocument/2006/relationships/control" Target="../activeX/activeX5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control" Target="../activeX/activeX63.xml"/><Relationship Id="rId18" Type="http://schemas.openxmlformats.org/officeDocument/2006/relationships/control" Target="../activeX/activeX68.xml"/><Relationship Id="rId26" Type="http://schemas.openxmlformats.org/officeDocument/2006/relationships/control" Target="../activeX/activeX76.xml"/><Relationship Id="rId3" Type="http://schemas.openxmlformats.org/officeDocument/2006/relationships/control" Target="../activeX/activeX53.xml"/><Relationship Id="rId21" Type="http://schemas.openxmlformats.org/officeDocument/2006/relationships/control" Target="../activeX/activeX71.xml"/><Relationship Id="rId7" Type="http://schemas.openxmlformats.org/officeDocument/2006/relationships/control" Target="../activeX/activeX57.xml"/><Relationship Id="rId12" Type="http://schemas.openxmlformats.org/officeDocument/2006/relationships/control" Target="../activeX/activeX62.xml"/><Relationship Id="rId17" Type="http://schemas.openxmlformats.org/officeDocument/2006/relationships/control" Target="../activeX/activeX67.xml"/><Relationship Id="rId25" Type="http://schemas.openxmlformats.org/officeDocument/2006/relationships/control" Target="../activeX/activeX75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66.xml"/><Relationship Id="rId20" Type="http://schemas.openxmlformats.org/officeDocument/2006/relationships/control" Target="../activeX/activeX7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6.xml"/><Relationship Id="rId11" Type="http://schemas.openxmlformats.org/officeDocument/2006/relationships/control" Target="../activeX/activeX61.xml"/><Relationship Id="rId24" Type="http://schemas.openxmlformats.org/officeDocument/2006/relationships/control" Target="../activeX/activeX74.xml"/><Relationship Id="rId5" Type="http://schemas.openxmlformats.org/officeDocument/2006/relationships/control" Target="../activeX/activeX55.xml"/><Relationship Id="rId15" Type="http://schemas.openxmlformats.org/officeDocument/2006/relationships/control" Target="../activeX/activeX65.xml"/><Relationship Id="rId23" Type="http://schemas.openxmlformats.org/officeDocument/2006/relationships/control" Target="../activeX/activeX73.xml"/><Relationship Id="rId28" Type="http://schemas.openxmlformats.org/officeDocument/2006/relationships/control" Target="../activeX/activeX78.xml"/><Relationship Id="rId10" Type="http://schemas.openxmlformats.org/officeDocument/2006/relationships/control" Target="../activeX/activeX60.xml"/><Relationship Id="rId19" Type="http://schemas.openxmlformats.org/officeDocument/2006/relationships/control" Target="../activeX/activeX69.xml"/><Relationship Id="rId4" Type="http://schemas.openxmlformats.org/officeDocument/2006/relationships/control" Target="../activeX/activeX54.xml"/><Relationship Id="rId9" Type="http://schemas.openxmlformats.org/officeDocument/2006/relationships/control" Target="../activeX/activeX59.xml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72.xml"/><Relationship Id="rId27" Type="http://schemas.openxmlformats.org/officeDocument/2006/relationships/control" Target="../activeX/activeX7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5"/>
  <dimension ref="B1:D10"/>
  <sheetViews>
    <sheetView tabSelected="1" zoomScale="120" zoomScaleNormal="120" workbookViewId="0"/>
  </sheetViews>
  <sheetFormatPr baseColWidth="10" defaultColWidth="11.42578125" defaultRowHeight="12.75"/>
  <cols>
    <col min="1" max="1" width="4.42578125" customWidth="1"/>
    <col min="2" max="2" width="27.5703125" customWidth="1"/>
    <col min="3" max="3" width="70.140625" bestFit="1" customWidth="1"/>
    <col min="4" max="4" width="30.42578125" customWidth="1"/>
    <col min="5" max="5" width="29" customWidth="1"/>
  </cols>
  <sheetData>
    <row r="1" spans="2:4" s="72" customFormat="1" ht="54">
      <c r="B1" s="74" t="s">
        <v>56</v>
      </c>
      <c r="C1" s="76" t="s">
        <v>57</v>
      </c>
    </row>
    <row r="4" spans="2:4">
      <c r="B4" s="75" t="s">
        <v>144</v>
      </c>
      <c r="C4" s="73" t="s">
        <v>55</v>
      </c>
      <c r="D4" s="13"/>
    </row>
    <row r="5" spans="2:4" ht="14.25" customHeight="1"/>
    <row r="7" spans="2:4">
      <c r="B7" s="71" t="s">
        <v>138</v>
      </c>
      <c r="C7" s="71" t="s">
        <v>137</v>
      </c>
      <c r="D7" s="21"/>
    </row>
    <row r="8" spans="2:4">
      <c r="B8" s="13" t="s">
        <v>58</v>
      </c>
      <c r="C8" s="13" t="s">
        <v>58</v>
      </c>
    </row>
    <row r="9" spans="2:4">
      <c r="B9" s="13" t="s">
        <v>58</v>
      </c>
      <c r="C9" s="13" t="s">
        <v>58</v>
      </c>
    </row>
    <row r="10" spans="2:4">
      <c r="B10" s="13" t="s">
        <v>58</v>
      </c>
      <c r="C10" s="13" t="s">
        <v>58</v>
      </c>
    </row>
  </sheetData>
  <dataConsolidate/>
  <hyperlinks>
    <hyperlink ref="C1" r:id="rId1"/>
  </hyperlinks>
  <pageMargins left="0.7" right="0.7" top="0.75" bottom="0.75" header="0.3" footer="0.3"/>
  <pageSetup paperSize="9" orientation="portrait" r:id="rId2"/>
  <drawing r:id="rId3"/>
  <legacyDrawing r:id="rId4"/>
  <picture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B1:W8"/>
  <sheetViews>
    <sheetView zoomScale="90" zoomScaleNormal="90" workbookViewId="0">
      <pane ySplit="2" topLeftCell="A3" activePane="bottomLeft" state="frozenSplit"/>
      <selection pane="bottomLeft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3" customWidth="1"/>
    <col min="5" max="5" width="16.42578125" style="57" hidden="1" customWidth="1"/>
    <col min="6" max="6" width="18.5703125" style="70" hidden="1" customWidth="1"/>
    <col min="7" max="7" width="12.85546875" style="58" customWidth="1"/>
    <col min="8" max="8" width="1.28515625" style="59" customWidth="1"/>
    <col min="9" max="9" width="16.5703125" style="82" customWidth="1"/>
    <col min="10" max="10" width="0" style="44" hidden="1" customWidth="1"/>
    <col min="11" max="11" width="11.85546875" style="60" hidden="1" customWidth="1"/>
    <col min="12" max="12" width="11.5703125" style="49" hidden="1" customWidth="1"/>
    <col min="13" max="14" width="11.28515625" style="50" customWidth="1"/>
    <col min="15" max="16384" width="27.140625" style="47"/>
  </cols>
  <sheetData>
    <row r="1" spans="2:23" s="20" customFormat="1" ht="43.5" customHeight="1">
      <c r="B1" s="20" t="s">
        <v>59</v>
      </c>
      <c r="C1" s="20" t="s">
        <v>60</v>
      </c>
      <c r="D1" s="52" t="s">
        <v>61</v>
      </c>
      <c r="E1" s="77"/>
      <c r="F1" s="78"/>
      <c r="G1" s="78" t="s">
        <v>30</v>
      </c>
      <c r="H1" s="56"/>
      <c r="I1" s="79" t="s">
        <v>62</v>
      </c>
      <c r="J1" s="80"/>
      <c r="K1" s="80"/>
      <c r="L1" s="48"/>
      <c r="M1" s="61"/>
      <c r="N1" s="61"/>
    </row>
    <row r="2" spans="2:23" s="51" customFormat="1" ht="32.25" customHeight="1" outlineLevel="1">
      <c r="B2" s="51" t="s">
        <v>13</v>
      </c>
      <c r="C2" s="51" t="s">
        <v>11</v>
      </c>
      <c r="D2" s="62" t="s">
        <v>28</v>
      </c>
      <c r="E2" s="54"/>
      <c r="G2" s="51" t="s">
        <v>12</v>
      </c>
      <c r="H2" s="55"/>
      <c r="I2" s="81" t="s">
        <v>14</v>
      </c>
      <c r="J2" s="51" t="s">
        <v>1</v>
      </c>
      <c r="K2" s="63" t="s">
        <v>2</v>
      </c>
      <c r="L2" s="51" t="s">
        <v>3</v>
      </c>
      <c r="M2" s="51" t="s">
        <v>63</v>
      </c>
      <c r="N2" s="51" t="s">
        <v>64</v>
      </c>
    </row>
    <row r="3" spans="2:23" s="43" customFormat="1" ht="15.95" customHeight="1">
      <c r="B3" s="43" t="s">
        <v>65</v>
      </c>
      <c r="C3" s="44" t="s">
        <v>84</v>
      </c>
      <c r="D3" s="53" t="s">
        <v>31</v>
      </c>
      <c r="E3" s="57"/>
      <c r="F3" s="70"/>
      <c r="G3" s="58">
        <f t="shared" ref="G3:G8" si="0">M3-N3</f>
        <v>-87.5</v>
      </c>
      <c r="H3" s="59"/>
      <c r="I3" s="82">
        <v>42373</v>
      </c>
      <c r="J3" s="44"/>
      <c r="K3" s="60"/>
      <c r="L3" s="49"/>
      <c r="M3" s="45"/>
      <c r="N3" s="50">
        <v>87.5</v>
      </c>
      <c r="O3" s="46"/>
      <c r="P3" s="47"/>
      <c r="Q3" s="47"/>
      <c r="R3" s="47"/>
      <c r="S3" s="47"/>
      <c r="T3" s="47"/>
      <c r="U3" s="47"/>
      <c r="V3" s="47"/>
      <c r="W3" s="47"/>
    </row>
    <row r="4" spans="2:23" s="43" customFormat="1" ht="15.95" customHeight="1">
      <c r="B4" s="43" t="s">
        <v>66</v>
      </c>
      <c r="C4" s="44" t="s">
        <v>75</v>
      </c>
      <c r="D4" s="53" t="s">
        <v>31</v>
      </c>
      <c r="E4" s="57"/>
      <c r="F4" s="70"/>
      <c r="G4" s="58">
        <f t="shared" si="0"/>
        <v>-1000</v>
      </c>
      <c r="H4" s="59"/>
      <c r="I4" s="82">
        <v>42374</v>
      </c>
      <c r="J4" s="44"/>
      <c r="K4" s="60"/>
      <c r="L4" s="49"/>
      <c r="M4" s="45"/>
      <c r="N4" s="50">
        <v>1000</v>
      </c>
      <c r="O4" s="46"/>
      <c r="P4" s="47"/>
      <c r="Q4" s="47"/>
      <c r="R4" s="47"/>
      <c r="S4" s="47"/>
      <c r="T4" s="47"/>
      <c r="U4" s="47"/>
      <c r="V4" s="47"/>
      <c r="W4" s="47"/>
    </row>
    <row r="5" spans="2:23" s="43" customFormat="1" ht="15.95" customHeight="1">
      <c r="B5" s="43" t="s">
        <v>67</v>
      </c>
      <c r="C5" s="44" t="s">
        <v>76</v>
      </c>
      <c r="D5" s="53" t="s">
        <v>31</v>
      </c>
      <c r="E5" s="57"/>
      <c r="F5" s="70"/>
      <c r="G5" s="58">
        <f t="shared" si="0"/>
        <v>-90.92</v>
      </c>
      <c r="H5" s="59"/>
      <c r="I5" s="82">
        <v>42375</v>
      </c>
      <c r="J5" s="44"/>
      <c r="K5" s="60"/>
      <c r="L5" s="49"/>
      <c r="M5" s="45"/>
      <c r="N5" s="50">
        <v>90.92</v>
      </c>
      <c r="O5" s="46"/>
      <c r="P5" s="47"/>
      <c r="Q5" s="47"/>
      <c r="R5" s="47"/>
      <c r="S5" s="47"/>
      <c r="T5" s="47"/>
      <c r="U5" s="47"/>
      <c r="V5" s="47"/>
      <c r="W5" s="47"/>
    </row>
    <row r="6" spans="2:23" s="43" customFormat="1" ht="15.95" customHeight="1">
      <c r="B6" s="43" t="s">
        <v>68</v>
      </c>
      <c r="C6" s="44" t="s">
        <v>78</v>
      </c>
      <c r="D6" s="53" t="s">
        <v>31</v>
      </c>
      <c r="E6" s="57"/>
      <c r="F6" s="70"/>
      <c r="G6" s="58">
        <f t="shared" si="0"/>
        <v>-75</v>
      </c>
      <c r="H6" s="59"/>
      <c r="I6" s="82">
        <v>42378</v>
      </c>
      <c r="J6" s="44"/>
      <c r="K6" s="60"/>
      <c r="L6" s="49"/>
      <c r="M6" s="45"/>
      <c r="N6" s="50">
        <v>75</v>
      </c>
      <c r="O6" s="46"/>
      <c r="P6" s="47"/>
      <c r="Q6" s="47"/>
      <c r="R6" s="47"/>
      <c r="S6" s="47"/>
      <c r="T6" s="47"/>
      <c r="U6" s="47"/>
      <c r="V6" s="47"/>
      <c r="W6" s="47"/>
    </row>
    <row r="7" spans="2:23" s="43" customFormat="1" ht="15.95" customHeight="1">
      <c r="B7" s="43" t="s">
        <v>69</v>
      </c>
      <c r="C7" s="44" t="s">
        <v>78</v>
      </c>
      <c r="D7" s="53" t="s">
        <v>31</v>
      </c>
      <c r="E7" s="57"/>
      <c r="F7" s="70"/>
      <c r="G7" s="58">
        <f t="shared" si="0"/>
        <v>-134.6</v>
      </c>
      <c r="H7" s="59"/>
      <c r="I7" s="82">
        <v>42381</v>
      </c>
      <c r="J7" s="44"/>
      <c r="K7" s="60"/>
      <c r="L7" s="49"/>
      <c r="M7" s="45"/>
      <c r="N7" s="50">
        <v>134.6</v>
      </c>
      <c r="O7" s="46"/>
      <c r="P7" s="47"/>
      <c r="Q7" s="47"/>
      <c r="R7" s="47"/>
      <c r="S7" s="47"/>
      <c r="T7" s="47"/>
      <c r="U7" s="47"/>
      <c r="V7" s="47"/>
      <c r="W7" s="47"/>
    </row>
    <row r="8" spans="2:23" s="43" customFormat="1" ht="15.95" customHeight="1">
      <c r="B8" s="43" t="s">
        <v>70</v>
      </c>
      <c r="C8" s="44" t="s">
        <v>75</v>
      </c>
      <c r="D8" s="53" t="s">
        <v>31</v>
      </c>
      <c r="E8" s="57"/>
      <c r="F8" s="70"/>
      <c r="G8" s="58">
        <f t="shared" si="0"/>
        <v>1480.6</v>
      </c>
      <c r="H8" s="59"/>
      <c r="I8" s="82">
        <v>42393</v>
      </c>
      <c r="J8" s="44"/>
      <c r="K8" s="60"/>
      <c r="L8" s="49"/>
      <c r="M8" s="45">
        <f>N7*11</f>
        <v>1480.6</v>
      </c>
      <c r="N8" s="50"/>
      <c r="O8" s="46"/>
      <c r="P8" s="47"/>
      <c r="Q8" s="47"/>
      <c r="R8" s="47"/>
      <c r="S8" s="47"/>
      <c r="T8" s="47"/>
      <c r="U8" s="47"/>
      <c r="V8" s="47"/>
      <c r="W8" s="47"/>
    </row>
  </sheetData>
  <mergeCells count="2">
    <mergeCell ref="E1:G1"/>
    <mergeCell ref="I1:K1"/>
  </mergeCells>
  <conditionalFormatting sqref="C1:C1048576">
    <cfRule type="expression" dxfId="25" priority="4">
      <formula>AND(ISBLANK($C1),NOT(OR($G1=0,ISBLANK($G1))))</formula>
    </cfRule>
  </conditionalFormatting>
  <conditionalFormatting sqref="A1:Z1048576">
    <cfRule type="expression" dxfId="24" priority="2">
      <formula>AND(NOT(ISBLANK($Z$2)),SEARCH($Z$2,$F1))</formula>
    </cfRule>
    <cfRule type="expression" dxfId="23" priority="3" stopIfTrue="1">
      <formula>ROW($A1)&lt;=2</formula>
    </cfRule>
  </conditionalFormatting>
  <conditionalFormatting sqref="D1:D1048576">
    <cfRule type="expression" dxfId="22" priority="1">
      <formula>AND(ROW($D1)&gt;2,$D1&lt;&gt;"Y",NOT(OR($G1=0,ISBLANK($G1))))</formula>
    </cfRule>
  </conditionalFormatting>
  <dataValidations count="1">
    <dataValidation type="list" allowBlank="1" showInputMessage="1" showErrorMessage="1" sqref="C3:C1048576">
      <formula1>categories_list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>
    <pageSetUpPr autoPageBreaks="0"/>
  </sheetPr>
  <dimension ref="B1:Z15"/>
  <sheetViews>
    <sheetView topLeftCell="C1" zoomScale="90" zoomScaleNormal="90" workbookViewId="0">
      <pane ySplit="2" topLeftCell="A3" activePane="bottomLeft" state="frozenSplit"/>
      <selection pane="bottomLeft" activeCell="C1" sqref="C1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3" customWidth="1"/>
    <col min="5" max="5" width="16.42578125" style="57" customWidth="1"/>
    <col min="6" max="6" width="18.5703125" style="70" customWidth="1"/>
    <col min="7" max="7" width="12.85546875" style="58" customWidth="1"/>
    <col min="8" max="8" width="12.28515625" style="59" customWidth="1"/>
    <col min="9" max="9" width="16.5703125" style="82" customWidth="1"/>
    <col min="10" max="10" width="27.140625" style="44"/>
    <col min="11" max="11" width="11.85546875" style="60" customWidth="1"/>
    <col min="12" max="12" width="11.5703125" style="49" customWidth="1"/>
    <col min="13" max="14" width="11.28515625" style="50" customWidth="1"/>
    <col min="15" max="16384" width="27.140625" style="47"/>
  </cols>
  <sheetData>
    <row r="1" spans="2:26" s="20" customFormat="1" ht="43.5" customHeight="1">
      <c r="B1" s="20" t="s">
        <v>59</v>
      </c>
      <c r="C1" s="20" t="s">
        <v>60</v>
      </c>
      <c r="D1" s="52" t="s">
        <v>61</v>
      </c>
      <c r="E1" s="77" t="s">
        <v>122</v>
      </c>
      <c r="F1" s="78"/>
      <c r="G1" s="78"/>
      <c r="H1" s="56" t="s">
        <v>123</v>
      </c>
      <c r="I1" s="79" t="s">
        <v>124</v>
      </c>
      <c r="J1" s="80"/>
      <c r="K1" s="80"/>
      <c r="L1" s="48"/>
      <c r="M1" s="61"/>
      <c r="N1" s="61"/>
      <c r="Z1" s="20" t="s">
        <v>53</v>
      </c>
    </row>
    <row r="2" spans="2:26" s="51" customFormat="1" ht="32.25" customHeight="1" outlineLevel="1">
      <c r="C2" s="51" t="s">
        <v>11</v>
      </c>
      <c r="D2" s="62" t="s">
        <v>28</v>
      </c>
      <c r="E2" s="54" t="s">
        <v>14</v>
      </c>
      <c r="F2" s="51" t="s">
        <v>13</v>
      </c>
      <c r="G2" s="51" t="s">
        <v>12</v>
      </c>
      <c r="H2" s="55">
        <v>3000</v>
      </c>
      <c r="I2" s="81" t="s">
        <v>139</v>
      </c>
      <c r="J2" s="51" t="s">
        <v>140</v>
      </c>
      <c r="K2" s="63" t="s">
        <v>141</v>
      </c>
      <c r="L2" s="51" t="s">
        <v>142</v>
      </c>
      <c r="Z2" s="51" t="s">
        <v>45</v>
      </c>
    </row>
    <row r="3" spans="2:26" s="43" customFormat="1" ht="15.95" customHeight="1">
      <c r="B3" s="43" t="s">
        <v>114</v>
      </c>
      <c r="C3" s="44" t="s">
        <v>92</v>
      </c>
      <c r="D3" s="53" t="s">
        <v>18</v>
      </c>
      <c r="E3" s="57">
        <f t="shared" ref="E3:E14" si="0">I3</f>
        <v>42371</v>
      </c>
      <c r="F3" s="70" t="str">
        <f>CONCATENATE(    IF(ISBLANK(B3),"",CONCATENATE(B3," --- ")),    IF(ISBLANK(J3),"",CONCATENATE(J3," --- ")))</f>
        <v xml:space="preserve">Monthly credit card payment --- SEVERAL RECEIPTS --- </v>
      </c>
      <c r="G3" s="58">
        <f t="shared" ref="G3:G12" si="1">VALUE(K3)</f>
        <v>-300</v>
      </c>
      <c r="H3" s="59">
        <f>initial_balance_checking_account+G3</f>
        <v>2700</v>
      </c>
      <c r="I3" s="82">
        <v>42371</v>
      </c>
      <c r="J3" s="44" t="s">
        <v>115</v>
      </c>
      <c r="K3" s="60">
        <v>-300</v>
      </c>
      <c r="L3" s="49" t="s">
        <v>5</v>
      </c>
      <c r="M3" s="45"/>
      <c r="N3" s="50"/>
      <c r="O3" s="46"/>
      <c r="P3" s="47"/>
      <c r="Q3" s="47"/>
      <c r="R3" s="47"/>
      <c r="S3" s="47"/>
      <c r="T3" s="47"/>
      <c r="U3" s="47"/>
      <c r="V3" s="47"/>
      <c r="W3" s="47"/>
    </row>
    <row r="4" spans="2:26" s="43" customFormat="1" ht="15.95" customHeight="1">
      <c r="B4" s="43" t="s">
        <v>104</v>
      </c>
      <c r="C4" s="44" t="s">
        <v>103</v>
      </c>
      <c r="D4" s="53" t="s">
        <v>18</v>
      </c>
      <c r="E4" s="57">
        <f t="shared" si="0"/>
        <v>42372</v>
      </c>
      <c r="F4" s="70" t="str">
        <f t="shared" ref="F4:F14" si="2">CONCATENATE(    IF(ISBLANK(B4),"",CONCATENATE(B4," --- ")),    IF(ISBLANK(J4),"",CONCATENATE(J4," --- ")))</f>
        <v xml:space="preserve">Paragliding magazing --- SEVERAL RECEIPTS --- </v>
      </c>
      <c r="G4" s="58">
        <f t="shared" si="1"/>
        <v>-25</v>
      </c>
      <c r="H4" s="59">
        <f t="shared" ref="H4:H15" si="3">H3+G4</f>
        <v>2675</v>
      </c>
      <c r="I4" s="82">
        <v>42372</v>
      </c>
      <c r="J4" s="44" t="s">
        <v>115</v>
      </c>
      <c r="K4" s="60">
        <v>-25</v>
      </c>
      <c r="L4" s="49" t="s">
        <v>5</v>
      </c>
      <c r="M4" s="45"/>
      <c r="N4" s="50"/>
      <c r="O4" s="46"/>
      <c r="P4" s="47"/>
      <c r="Q4" s="47"/>
      <c r="R4" s="47"/>
      <c r="S4" s="47"/>
      <c r="T4" s="47"/>
      <c r="U4" s="47"/>
      <c r="V4" s="47"/>
      <c r="W4" s="47"/>
    </row>
    <row r="5" spans="2:26" s="43" customFormat="1" ht="15.95" customHeight="1">
      <c r="B5" s="43" t="s">
        <v>105</v>
      </c>
      <c r="C5" s="44" t="s">
        <v>85</v>
      </c>
      <c r="D5" s="53" t="s">
        <v>18</v>
      </c>
      <c r="E5" s="57">
        <f t="shared" si="0"/>
        <v>42373</v>
      </c>
      <c r="F5" s="70" t="str">
        <f t="shared" si="2"/>
        <v xml:space="preserve">Cellular --- SEVERAL RECEIPTS --- </v>
      </c>
      <c r="G5" s="58">
        <f t="shared" si="1"/>
        <v>-15</v>
      </c>
      <c r="H5" s="59">
        <f t="shared" si="3"/>
        <v>2660</v>
      </c>
      <c r="I5" s="82">
        <v>42373</v>
      </c>
      <c r="J5" s="44" t="s">
        <v>115</v>
      </c>
      <c r="K5" s="60">
        <v>-15</v>
      </c>
      <c r="L5" s="49" t="s">
        <v>5</v>
      </c>
      <c r="M5" s="45"/>
      <c r="N5" s="50"/>
      <c r="O5" s="46"/>
      <c r="P5" s="47"/>
      <c r="Q5" s="47"/>
      <c r="R5" s="47"/>
      <c r="S5" s="47"/>
      <c r="T5" s="47"/>
      <c r="U5" s="47"/>
      <c r="V5" s="47"/>
      <c r="W5" s="47"/>
    </row>
    <row r="6" spans="2:26" s="43" customFormat="1" ht="15.95" customHeight="1">
      <c r="B6" s="43" t="s">
        <v>106</v>
      </c>
      <c r="C6" s="44" t="s">
        <v>82</v>
      </c>
      <c r="D6" s="53" t="s">
        <v>18</v>
      </c>
      <c r="E6" s="57">
        <f t="shared" si="0"/>
        <v>42374</v>
      </c>
      <c r="F6" s="70" t="str">
        <f t="shared" si="2"/>
        <v xml:space="preserve">Remote control helicopter spare parts --- SHOPPING --- </v>
      </c>
      <c r="G6" s="58">
        <f t="shared" si="1"/>
        <v>-30</v>
      </c>
      <c r="H6" s="59">
        <f t="shared" si="3"/>
        <v>2630</v>
      </c>
      <c r="I6" s="82">
        <v>42374</v>
      </c>
      <c r="J6" s="44" t="s">
        <v>119</v>
      </c>
      <c r="K6" s="60">
        <v>-30</v>
      </c>
      <c r="L6" s="49" t="s">
        <v>5</v>
      </c>
      <c r="M6" s="45"/>
      <c r="N6" s="50"/>
      <c r="O6" s="46"/>
      <c r="P6" s="47"/>
      <c r="Q6" s="47"/>
      <c r="R6" s="47"/>
      <c r="S6" s="47"/>
      <c r="T6" s="47"/>
      <c r="U6" s="47"/>
      <c r="V6" s="47"/>
      <c r="W6" s="47"/>
    </row>
    <row r="7" spans="2:26" s="43" customFormat="1" ht="15.95" customHeight="1">
      <c r="B7" s="43" t="s">
        <v>107</v>
      </c>
      <c r="C7" s="44" t="s">
        <v>74</v>
      </c>
      <c r="D7" s="53" t="s">
        <v>18</v>
      </c>
      <c r="E7" s="57">
        <f t="shared" si="0"/>
        <v>42375</v>
      </c>
      <c r="F7" s="70" t="str">
        <f t="shared" si="2"/>
        <v xml:space="preserve">ATM withdrawal --- ATM WITHDRAWAL --- </v>
      </c>
      <c r="G7" s="58">
        <f t="shared" si="1"/>
        <v>-100</v>
      </c>
      <c r="H7" s="59">
        <f t="shared" si="3"/>
        <v>2530</v>
      </c>
      <c r="I7" s="82">
        <v>42375</v>
      </c>
      <c r="J7" s="44" t="s">
        <v>120</v>
      </c>
      <c r="K7" s="60">
        <v>-100</v>
      </c>
      <c r="L7" s="49" t="s">
        <v>5</v>
      </c>
      <c r="M7" s="45"/>
      <c r="N7" s="50"/>
      <c r="O7" s="46"/>
      <c r="P7" s="47"/>
      <c r="Q7" s="47"/>
      <c r="R7" s="47"/>
      <c r="S7" s="47"/>
      <c r="T7" s="47"/>
      <c r="U7" s="47"/>
      <c r="V7" s="47"/>
      <c r="W7" s="47"/>
    </row>
    <row r="8" spans="2:26" s="43" customFormat="1" ht="15.95" customHeight="1">
      <c r="B8" s="43" t="s">
        <v>108</v>
      </c>
      <c r="C8" s="44" t="s">
        <v>79</v>
      </c>
      <c r="D8" s="53" t="s">
        <v>18</v>
      </c>
      <c r="E8" s="57">
        <f t="shared" si="0"/>
        <v>42376</v>
      </c>
      <c r="F8" s="70" t="str">
        <f t="shared" si="2"/>
        <v xml:space="preserve">Electricity bill --- ELECTRICITY BILL --- </v>
      </c>
      <c r="G8" s="58">
        <f t="shared" si="1"/>
        <v>-75</v>
      </c>
      <c r="H8" s="59">
        <f t="shared" si="3"/>
        <v>2455</v>
      </c>
      <c r="I8" s="82">
        <v>42376</v>
      </c>
      <c r="J8" s="44" t="s">
        <v>121</v>
      </c>
      <c r="K8" s="60">
        <v>-75</v>
      </c>
      <c r="L8" s="49" t="s">
        <v>5</v>
      </c>
      <c r="M8" s="45"/>
      <c r="N8" s="50"/>
      <c r="O8" s="46"/>
      <c r="P8" s="47"/>
      <c r="Q8" s="47"/>
      <c r="R8" s="47"/>
      <c r="S8" s="47"/>
      <c r="T8" s="47"/>
      <c r="U8" s="47"/>
      <c r="V8" s="47"/>
      <c r="W8" s="47"/>
    </row>
    <row r="9" spans="2:26" ht="15.95" customHeight="1">
      <c r="B9" s="43" t="s">
        <v>107</v>
      </c>
      <c r="C9" s="44" t="s">
        <v>74</v>
      </c>
      <c r="D9" s="53" t="s">
        <v>18</v>
      </c>
      <c r="E9" s="57">
        <f t="shared" si="0"/>
        <v>42377</v>
      </c>
      <c r="F9" s="70" t="str">
        <f t="shared" si="2"/>
        <v xml:space="preserve">ATM withdrawal --- ATM WITHDRAWAL --- </v>
      </c>
      <c r="G9" s="58">
        <f t="shared" si="1"/>
        <v>-150</v>
      </c>
      <c r="H9" s="59">
        <f t="shared" si="3"/>
        <v>2305</v>
      </c>
      <c r="I9" s="82">
        <v>42377</v>
      </c>
      <c r="J9" s="44" t="s">
        <v>120</v>
      </c>
      <c r="K9" s="60">
        <v>-150</v>
      </c>
      <c r="L9" s="49" t="s">
        <v>5</v>
      </c>
    </row>
    <row r="10" spans="2:26" ht="15.95" customHeight="1">
      <c r="B10" s="43" t="s">
        <v>109</v>
      </c>
      <c r="C10" s="44" t="s">
        <v>77</v>
      </c>
      <c r="D10" s="53" t="s">
        <v>31</v>
      </c>
      <c r="E10" s="57">
        <f t="shared" si="0"/>
        <v>42378</v>
      </c>
      <c r="F10" s="70" t="str">
        <f t="shared" si="2"/>
        <v xml:space="preserve">Fuel --- SHOPPING --- </v>
      </c>
      <c r="G10" s="58">
        <f t="shared" si="1"/>
        <v>-55</v>
      </c>
      <c r="H10" s="59">
        <f t="shared" si="3"/>
        <v>2250</v>
      </c>
      <c r="I10" s="82">
        <v>42378</v>
      </c>
      <c r="J10" s="44" t="s">
        <v>119</v>
      </c>
      <c r="K10" s="60">
        <v>-55</v>
      </c>
      <c r="L10" s="49" t="s">
        <v>5</v>
      </c>
    </row>
    <row r="11" spans="2:26" ht="15.95" customHeight="1">
      <c r="B11" s="43" t="s">
        <v>110</v>
      </c>
      <c r="C11" s="44" t="s">
        <v>88</v>
      </c>
      <c r="D11" s="53" t="s">
        <v>31</v>
      </c>
      <c r="E11" s="57">
        <f t="shared" si="0"/>
        <v>42379</v>
      </c>
      <c r="F11" s="70" t="str">
        <f t="shared" si="2"/>
        <v xml:space="preserve">Interest --- INTEREST --- </v>
      </c>
      <c r="G11" s="58">
        <f t="shared" si="1"/>
        <v>0.12</v>
      </c>
      <c r="H11" s="59">
        <f t="shared" si="3"/>
        <v>2250.12</v>
      </c>
      <c r="I11" s="82">
        <v>42379</v>
      </c>
      <c r="J11" s="44" t="s">
        <v>128</v>
      </c>
      <c r="K11" s="60">
        <v>0.12</v>
      </c>
      <c r="L11" s="49" t="s">
        <v>5</v>
      </c>
    </row>
    <row r="12" spans="2:26" ht="15.95" customHeight="1">
      <c r="B12" s="43" t="s">
        <v>111</v>
      </c>
      <c r="C12" s="44" t="s">
        <v>91</v>
      </c>
      <c r="D12" s="53" t="s">
        <v>31</v>
      </c>
      <c r="E12" s="57">
        <f t="shared" si="0"/>
        <v>42380</v>
      </c>
      <c r="F12" s="70" t="str">
        <f t="shared" si="2"/>
        <v xml:space="preserve">Mortgage amortization --- AMORTIZATION --- </v>
      </c>
      <c r="G12" s="58">
        <f t="shared" si="1"/>
        <v>-600</v>
      </c>
      <c r="H12" s="59">
        <f t="shared" si="3"/>
        <v>1650.12</v>
      </c>
      <c r="I12" s="82">
        <v>42380</v>
      </c>
      <c r="J12" s="44" t="s">
        <v>118</v>
      </c>
      <c r="K12" s="60">
        <v>-600</v>
      </c>
      <c r="L12" s="49" t="s">
        <v>5</v>
      </c>
    </row>
    <row r="13" spans="2:26" ht="15.95" customHeight="1">
      <c r="B13" s="43" t="s">
        <v>112</v>
      </c>
      <c r="C13" s="44" t="s">
        <v>73</v>
      </c>
      <c r="D13" s="53" t="s">
        <v>31</v>
      </c>
      <c r="E13" s="57">
        <f t="shared" si="0"/>
        <v>42382</v>
      </c>
      <c r="F13" s="70" t="str">
        <f t="shared" si="2"/>
        <v xml:space="preserve">Transfer money to saving account --- TRANSFER --- </v>
      </c>
      <c r="G13" s="58">
        <f t="shared" ref="G13:G14" si="4">VALUE(K13)</f>
        <v>-400</v>
      </c>
      <c r="H13" s="59">
        <f t="shared" si="3"/>
        <v>1250.1199999999999</v>
      </c>
      <c r="I13" s="82">
        <v>42382</v>
      </c>
      <c r="J13" s="44" t="s">
        <v>117</v>
      </c>
      <c r="K13" s="60">
        <v>-400</v>
      </c>
      <c r="L13" s="49" t="s">
        <v>5</v>
      </c>
    </row>
    <row r="14" spans="2:26" ht="15.95" customHeight="1">
      <c r="B14" s="43" t="s">
        <v>113</v>
      </c>
      <c r="C14" s="44" t="s">
        <v>90</v>
      </c>
      <c r="D14" s="53" t="s">
        <v>31</v>
      </c>
      <c r="E14" s="57">
        <f t="shared" si="0"/>
        <v>42383</v>
      </c>
      <c r="F14" s="70" t="str">
        <f t="shared" si="2"/>
        <v xml:space="preserve">Payroll --- PAYROLL --- </v>
      </c>
      <c r="G14" s="58">
        <f t="shared" si="4"/>
        <v>1800</v>
      </c>
      <c r="H14" s="59">
        <f t="shared" si="3"/>
        <v>3050.12</v>
      </c>
      <c r="I14" s="82">
        <v>42383</v>
      </c>
      <c r="J14" s="44" t="s">
        <v>116</v>
      </c>
      <c r="K14" s="60">
        <v>1800</v>
      </c>
      <c r="L14" s="49" t="s">
        <v>5</v>
      </c>
    </row>
    <row r="15" spans="2:26" ht="15.95" customHeight="1">
      <c r="B15" s="43" t="s">
        <v>114</v>
      </c>
      <c r="C15" s="44" t="s">
        <v>92</v>
      </c>
      <c r="D15" s="53" t="s">
        <v>31</v>
      </c>
      <c r="E15" s="57">
        <f>I15</f>
        <v>42381</v>
      </c>
      <c r="F15" s="70" t="str">
        <f>CONCATENATE(    IF(ISBLANK(B15),"",CONCATENATE(B15," --- ")),    IF(ISBLANK(J15),"",CONCATENATE(J15," --- ")))</f>
        <v xml:space="preserve">Monthly credit card payment --- SEVERAL RECEIPTS --- </v>
      </c>
      <c r="G15" s="58">
        <f>VALUE(K15)</f>
        <v>-805</v>
      </c>
      <c r="H15" s="59">
        <f t="shared" si="3"/>
        <v>2245.12</v>
      </c>
      <c r="I15" s="82">
        <v>42381</v>
      </c>
      <c r="J15" s="44" t="s">
        <v>115</v>
      </c>
      <c r="K15" s="60">
        <v>-805</v>
      </c>
      <c r="L15" s="49" t="s">
        <v>5</v>
      </c>
    </row>
  </sheetData>
  <dataConsolidate/>
  <mergeCells count="2">
    <mergeCell ref="E1:G1"/>
    <mergeCell ref="I1:K1"/>
  </mergeCells>
  <conditionalFormatting sqref="C1:C1048576">
    <cfRule type="expression" dxfId="21" priority="4">
      <formula>AND(ISBLANK($C1),NOT(OR($G1=0,ISBLANK($G1))))</formula>
    </cfRule>
  </conditionalFormatting>
  <conditionalFormatting sqref="A1:Z1048576">
    <cfRule type="expression" dxfId="20" priority="2">
      <formula>AND(NOT(ISBLANK($Z$2)),SEARCH($Z$2,$F1))</formula>
    </cfRule>
    <cfRule type="expression" dxfId="19" priority="3" stopIfTrue="1">
      <formula>ROW($A1)&lt;=2</formula>
    </cfRule>
  </conditionalFormatting>
  <conditionalFormatting sqref="D1:D1048576">
    <cfRule type="expression" dxfId="18" priority="1">
      <formula>AND(ROW($D1)&gt;2,$D1&lt;&gt;"Y",NOT(OR($G1=0,ISBLANK($G1))))</formula>
    </cfRule>
  </conditionalFormatting>
  <dataValidations disablePrompts="1" count="1">
    <dataValidation type="list" allowBlank="1" showInputMessage="1" showErrorMessage="1" sqref="C2:C1048576">
      <formula1>categories_list</formula1>
    </dataValidation>
  </dataValidations>
  <printOptions gridLines="1"/>
  <pageMargins left="0.75" right="0.75" top="1" bottom="1" header="0" footer="0"/>
  <pageSetup paperSize="9" pageOrder="overThenDown" orientation="landscape" blackAndWhite="1" r:id="rId1"/>
  <headerFooter alignWithMargins="0"/>
  <legacyDrawing r:id="rId2"/>
  <controls>
    <control shapeId="8193" r:id="rId3" name="Control 1"/>
    <control shapeId="8194" r:id="rId4" name="Control 2"/>
    <control shapeId="8195" r:id="rId5" name="Control 3"/>
    <control shapeId="8196" r:id="rId6" name="Control 4"/>
    <control shapeId="8197" r:id="rId7" name="Control 5"/>
    <control shapeId="8198" r:id="rId8" name="Control 6"/>
    <control shapeId="8199" r:id="rId9" name="Control 7"/>
    <control shapeId="8200" r:id="rId10" name="Control 8"/>
    <control shapeId="8201" r:id="rId11" name="Control 9"/>
    <control shapeId="8202" r:id="rId12" name="Control 10"/>
    <control shapeId="8203" r:id="rId13" name="Control 11"/>
    <control shapeId="8204" r:id="rId14" name="Control 12"/>
    <control shapeId="8205" r:id="rId15" name="Control 13"/>
    <control shapeId="8206" r:id="rId16" name="Control 14"/>
    <control shapeId="8207" r:id="rId17" name="Control 15"/>
    <control shapeId="8208" r:id="rId18" name="Control 16"/>
    <control shapeId="8209" r:id="rId19" name="Control 17"/>
    <control shapeId="8210" r:id="rId20" name="Control 18"/>
    <control shapeId="8211" r:id="rId21" name="Control 19"/>
    <control shapeId="8212" r:id="rId22" name="Control 20"/>
    <control shapeId="8213" r:id="rId23" name="Control 21"/>
    <control shapeId="8214" r:id="rId24" name="Control 22"/>
    <control shapeId="8215" r:id="rId25" name="Control 23"/>
    <control shapeId="8216" r:id="rId26" name="Control 24"/>
    <control shapeId="8217" r:id="rId27" name="Control 25"/>
    <control shapeId="8218" r:id="rId28" name="Control 26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9">
    <pageSetUpPr autoPageBreaks="0"/>
  </sheetPr>
  <dimension ref="B1:W8"/>
  <sheetViews>
    <sheetView topLeftCell="C1" zoomScale="90" zoomScaleNormal="90" workbookViewId="0">
      <pane ySplit="2" topLeftCell="A3" activePane="bottomLeft" state="frozenSplit"/>
      <selection pane="bottomLeft" activeCell="C1" sqref="C1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3" customWidth="1"/>
    <col min="5" max="5" width="16.42578125" style="57" customWidth="1"/>
    <col min="6" max="6" width="18.5703125" style="70" customWidth="1"/>
    <col min="7" max="7" width="12.85546875" style="58" customWidth="1"/>
    <col min="8" max="8" width="12.28515625" style="59" customWidth="1"/>
    <col min="9" max="9" width="16.5703125" style="82" customWidth="1"/>
    <col min="10" max="10" width="27.140625" style="44"/>
    <col min="11" max="11" width="11.85546875" style="60" customWidth="1"/>
    <col min="12" max="12" width="11.5703125" style="49" customWidth="1"/>
    <col min="13" max="14" width="11.28515625" style="50" customWidth="1"/>
    <col min="15" max="16384" width="27.140625" style="47"/>
  </cols>
  <sheetData>
    <row r="1" spans="2:23" s="20" customFormat="1" ht="43.5" customHeight="1">
      <c r="B1" s="20" t="s">
        <v>59</v>
      </c>
      <c r="C1" s="20" t="s">
        <v>60</v>
      </c>
      <c r="D1" s="52" t="s">
        <v>61</v>
      </c>
      <c r="E1" s="77" t="s">
        <v>122</v>
      </c>
      <c r="F1" s="78"/>
      <c r="G1" s="78"/>
      <c r="H1" s="56" t="s">
        <v>123</v>
      </c>
      <c r="I1" s="79" t="s">
        <v>124</v>
      </c>
      <c r="J1" s="80"/>
      <c r="K1" s="80"/>
      <c r="L1" s="48"/>
      <c r="M1" s="61"/>
      <c r="N1" s="61"/>
    </row>
    <row r="2" spans="2:23" s="51" customFormat="1" ht="32.25" customHeight="1" outlineLevel="1">
      <c r="C2" s="51" t="s">
        <v>11</v>
      </c>
      <c r="D2" s="62" t="s">
        <v>28</v>
      </c>
      <c r="E2" s="54" t="s">
        <v>14</v>
      </c>
      <c r="F2" s="51" t="s">
        <v>13</v>
      </c>
      <c r="G2" s="51" t="s">
        <v>12</v>
      </c>
      <c r="H2" s="55">
        <v>10000</v>
      </c>
      <c r="I2" s="81" t="s">
        <v>139</v>
      </c>
      <c r="J2" s="51" t="s">
        <v>140</v>
      </c>
      <c r="K2" s="63" t="s">
        <v>141</v>
      </c>
      <c r="L2" s="51" t="s">
        <v>142</v>
      </c>
    </row>
    <row r="3" spans="2:23" s="43" customFormat="1" ht="15.95" customHeight="1">
      <c r="B3" s="43" t="s">
        <v>126</v>
      </c>
      <c r="C3" s="44" t="s">
        <v>73</v>
      </c>
      <c r="D3" s="53" t="s">
        <v>18</v>
      </c>
      <c r="E3" s="57">
        <f t="shared" ref="E3:E4" si="0">I3</f>
        <v>42382</v>
      </c>
      <c r="F3" s="70" t="str">
        <f t="shared" ref="F3:F4" si="1">CONCATENATE(    IF(ISBLANK(B3),"",CONCATENATE(B3," --- ")),    IF(ISBLANK(J3),"",CONCATENATE(J3," --- ")))</f>
        <v xml:space="preserve">Transfer money from checking account --- SELF TRANSFER TO ACCOUNT --- </v>
      </c>
      <c r="G3" s="58">
        <f t="shared" ref="G3:G4" si="2">VALUE(K3)</f>
        <v>400</v>
      </c>
      <c r="H3" s="59">
        <f>initial_balance_saving_account+G3</f>
        <v>10400</v>
      </c>
      <c r="I3" s="82">
        <v>42382</v>
      </c>
      <c r="J3" s="44" t="s">
        <v>127</v>
      </c>
      <c r="K3" s="60">
        <v>400</v>
      </c>
      <c r="L3" s="49" t="s">
        <v>5</v>
      </c>
      <c r="M3" s="45"/>
      <c r="N3" s="50"/>
      <c r="O3" s="46"/>
      <c r="P3" s="47"/>
      <c r="Q3" s="47"/>
      <c r="R3" s="47"/>
      <c r="S3" s="47"/>
      <c r="T3" s="47"/>
      <c r="U3" s="47"/>
      <c r="V3" s="47"/>
      <c r="W3" s="47"/>
    </row>
    <row r="4" spans="2:23" s="43" customFormat="1" ht="15.95" customHeight="1">
      <c r="B4" s="43" t="s">
        <v>125</v>
      </c>
      <c r="C4" s="44" t="s">
        <v>89</v>
      </c>
      <c r="D4" s="53" t="s">
        <v>18</v>
      </c>
      <c r="E4" s="57">
        <f t="shared" si="0"/>
        <v>42389</v>
      </c>
      <c r="F4" s="70" t="str">
        <f t="shared" si="1"/>
        <v xml:space="preserve">Very low interest --- INTEREST --- </v>
      </c>
      <c r="G4" s="58">
        <f t="shared" si="2"/>
        <v>6.1</v>
      </c>
      <c r="H4" s="59">
        <f>H3+G4</f>
        <v>10406.1</v>
      </c>
      <c r="I4" s="82">
        <v>42389</v>
      </c>
      <c r="J4" s="44" t="s">
        <v>128</v>
      </c>
      <c r="K4" s="60">
        <v>6.1</v>
      </c>
      <c r="L4" s="49" t="s">
        <v>5</v>
      </c>
      <c r="M4" s="45"/>
      <c r="N4" s="50"/>
      <c r="O4" s="46"/>
      <c r="P4" s="47"/>
      <c r="Q4" s="47"/>
      <c r="R4" s="47"/>
      <c r="S4" s="47"/>
      <c r="T4" s="47"/>
      <c r="U4" s="47"/>
      <c r="V4" s="47"/>
      <c r="W4" s="47"/>
    </row>
    <row r="5" spans="2:23" s="43" customFormat="1" ht="15.95" customHeight="1">
      <c r="C5" s="44"/>
      <c r="D5" s="53"/>
      <c r="E5" s="57"/>
      <c r="F5" s="70"/>
      <c r="G5" s="58"/>
      <c r="H5" s="59"/>
      <c r="I5" s="82"/>
      <c r="J5" s="44"/>
      <c r="K5" s="60"/>
      <c r="L5" s="49"/>
      <c r="M5" s="45"/>
      <c r="N5" s="50"/>
      <c r="O5" s="46"/>
      <c r="P5" s="47"/>
      <c r="Q5" s="47"/>
      <c r="R5" s="47"/>
      <c r="S5" s="47"/>
      <c r="T5" s="47"/>
      <c r="U5" s="47"/>
      <c r="V5" s="47"/>
      <c r="W5" s="47"/>
    </row>
    <row r="6" spans="2:23" s="43" customFormat="1" ht="15.95" customHeight="1">
      <c r="C6" s="44"/>
      <c r="D6" s="53"/>
      <c r="E6" s="57"/>
      <c r="F6" s="70"/>
      <c r="G6" s="58"/>
      <c r="H6" s="59"/>
      <c r="I6" s="82"/>
      <c r="J6" s="44"/>
      <c r="K6" s="60"/>
      <c r="L6" s="49"/>
      <c r="M6" s="45"/>
      <c r="N6" s="50"/>
      <c r="O6" s="46"/>
      <c r="P6" s="47"/>
      <c r="Q6" s="47"/>
      <c r="R6" s="47"/>
      <c r="S6" s="47"/>
      <c r="T6" s="47"/>
      <c r="U6" s="47"/>
      <c r="V6" s="47"/>
      <c r="W6" s="47"/>
    </row>
    <row r="7" spans="2:23" s="43" customFormat="1" ht="15.95" customHeight="1">
      <c r="C7" s="44"/>
      <c r="D7" s="53"/>
      <c r="E7" s="57"/>
      <c r="F7" s="70"/>
      <c r="G7" s="58"/>
      <c r="H7" s="59"/>
      <c r="I7" s="82"/>
      <c r="J7" s="44"/>
      <c r="K7" s="60"/>
      <c r="L7" s="49"/>
      <c r="M7" s="45"/>
      <c r="N7" s="50"/>
      <c r="O7" s="46"/>
      <c r="P7" s="47"/>
      <c r="Q7" s="47"/>
      <c r="R7" s="47"/>
      <c r="S7" s="47"/>
      <c r="T7" s="47"/>
      <c r="U7" s="47"/>
      <c r="V7" s="47"/>
      <c r="W7" s="47"/>
    </row>
    <row r="8" spans="2:23" s="43" customFormat="1" ht="15.95" customHeight="1">
      <c r="C8" s="44"/>
      <c r="D8" s="53"/>
      <c r="E8" s="57"/>
      <c r="F8" s="70"/>
      <c r="G8" s="58"/>
      <c r="H8" s="59"/>
      <c r="I8" s="82"/>
      <c r="J8" s="44"/>
      <c r="K8" s="60"/>
      <c r="L8" s="49"/>
      <c r="M8" s="45"/>
      <c r="N8" s="50"/>
      <c r="O8" s="46"/>
      <c r="P8" s="47"/>
      <c r="Q8" s="47"/>
      <c r="R8" s="47"/>
      <c r="S8" s="47"/>
      <c r="T8" s="47"/>
      <c r="U8" s="47"/>
      <c r="V8" s="47"/>
      <c r="W8" s="47"/>
    </row>
  </sheetData>
  <dataConsolidate/>
  <mergeCells count="2">
    <mergeCell ref="E1:G1"/>
    <mergeCell ref="I1:K1"/>
  </mergeCells>
  <conditionalFormatting sqref="C1:C1048576">
    <cfRule type="expression" dxfId="17" priority="6">
      <formula>AND(ISBLANK($C1),NOT(OR($G1=0,ISBLANK($G1))))</formula>
    </cfRule>
  </conditionalFormatting>
  <conditionalFormatting sqref="A1:Z1048576">
    <cfRule type="expression" dxfId="16" priority="4">
      <formula>AND(NOT(ISBLANK($Z$2)),SEARCH($Z$2,$F1))</formula>
    </cfRule>
    <cfRule type="expression" dxfId="15" priority="5" stopIfTrue="1">
      <formula>ROW($A1)&lt;=2</formula>
    </cfRule>
  </conditionalFormatting>
  <conditionalFormatting sqref="D1:D1048576">
    <cfRule type="expression" dxfId="14" priority="3">
      <formula>AND(ROW($D1)&gt;2,$D1&lt;&gt;"Y",NOT(OR($G1=0,ISBLANK($G1))))</formula>
    </cfRule>
  </conditionalFormatting>
  <conditionalFormatting sqref="I2:L2">
    <cfRule type="expression" dxfId="9" priority="1">
      <formula>AND(NOT(ISBLANK($Z$2)),SEARCH($Z$2,$F2))</formula>
    </cfRule>
    <cfRule type="expression" dxfId="8" priority="2" stopIfTrue="1">
      <formula>ROW($A2)&lt;=2</formula>
    </cfRule>
  </conditionalFormatting>
  <dataValidations count="1">
    <dataValidation type="list" allowBlank="1" showInputMessage="1" showErrorMessage="1" sqref="C2:C1048576">
      <formula1>categories_list</formula1>
    </dataValidation>
  </dataValidations>
  <printOptions gridLines="1"/>
  <pageMargins left="0.75" right="0.75" top="1" bottom="1" header="0" footer="0"/>
  <pageSetup paperSize="9" pageOrder="overThenDown" orientation="landscape" blackAndWhite="1" r:id="rId1"/>
  <headerFooter alignWithMargins="0"/>
  <legacyDrawing r:id="rId2"/>
  <controls>
    <control shapeId="10266" r:id="rId3" name="Control 26"/>
    <control shapeId="10265" r:id="rId4" name="Control 25"/>
    <control shapeId="10264" r:id="rId5" name="Control 24"/>
    <control shapeId="10263" r:id="rId6" name="Control 23"/>
    <control shapeId="10262" r:id="rId7" name="Control 22"/>
    <control shapeId="10261" r:id="rId8" name="Control 21"/>
    <control shapeId="10260" r:id="rId9" name="Control 20"/>
    <control shapeId="10259" r:id="rId10" name="Control 19"/>
    <control shapeId="10258" r:id="rId11" name="Control 18"/>
    <control shapeId="10257" r:id="rId12" name="Control 17"/>
    <control shapeId="10256" r:id="rId13" name="Control 16"/>
    <control shapeId="10255" r:id="rId14" name="Control 15"/>
    <control shapeId="10254" r:id="rId15" name="Control 14"/>
    <control shapeId="10253" r:id="rId16" name="Control 13"/>
    <control shapeId="10252" r:id="rId17" name="Control 12"/>
    <control shapeId="10251" r:id="rId18" name="Control 11"/>
    <control shapeId="10250" r:id="rId19" name="Control 10"/>
    <control shapeId="10249" r:id="rId20" name="Control 9"/>
    <control shapeId="10248" r:id="rId21" name="Control 8"/>
    <control shapeId="10247" r:id="rId22" name="Control 7"/>
    <control shapeId="10246" r:id="rId23" name="Control 6"/>
    <control shapeId="10245" r:id="rId24" name="Control 5"/>
    <control shapeId="10244" r:id="rId25" name="Control 4"/>
    <control shapeId="10243" r:id="rId26" name="Control 3"/>
    <control shapeId="10242" r:id="rId27" name="Control 2"/>
    <control shapeId="10241" r:id="rId28" name="Control 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Z8"/>
  <sheetViews>
    <sheetView zoomScale="90" zoomScaleNormal="90" workbookViewId="0">
      <pane ySplit="2" topLeftCell="A3" activePane="bottomLeft" state="frozenSplit"/>
      <selection pane="bottomLeft" activeCell="B1" sqref="B1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3" customWidth="1"/>
    <col min="5" max="5" width="16.42578125" style="57" customWidth="1"/>
    <col min="6" max="6" width="18.5703125" style="70" customWidth="1"/>
    <col min="7" max="7" width="12.85546875" style="58" customWidth="1"/>
    <col min="8" max="8" width="12.28515625" style="59" customWidth="1"/>
    <col min="9" max="9" width="16.5703125" style="82" customWidth="1"/>
    <col min="10" max="10" width="27.140625" style="44"/>
    <col min="11" max="11" width="11.85546875" style="60" customWidth="1"/>
    <col min="12" max="12" width="11.5703125" style="49" customWidth="1"/>
    <col min="13" max="14" width="11.28515625" style="50" customWidth="1"/>
    <col min="15" max="16384" width="27.140625" style="47"/>
  </cols>
  <sheetData>
    <row r="1" spans="2:26" s="20" customFormat="1" ht="43.5" customHeight="1">
      <c r="B1" s="20" t="s">
        <v>59</v>
      </c>
      <c r="C1" s="20" t="s">
        <v>60</v>
      </c>
      <c r="D1" s="52" t="s">
        <v>61</v>
      </c>
      <c r="E1" s="77" t="s">
        <v>122</v>
      </c>
      <c r="F1" s="78"/>
      <c r="G1" s="78"/>
      <c r="H1" s="56" t="s">
        <v>123</v>
      </c>
      <c r="I1" s="79" t="s">
        <v>124</v>
      </c>
      <c r="J1" s="80"/>
      <c r="K1" s="80"/>
      <c r="L1" s="48"/>
      <c r="M1" s="61"/>
      <c r="N1" s="61"/>
      <c r="Z1" s="20" t="s">
        <v>53</v>
      </c>
    </row>
    <row r="2" spans="2:26" s="51" customFormat="1" ht="32.25" customHeight="1" outlineLevel="1">
      <c r="C2" s="51" t="s">
        <v>11</v>
      </c>
      <c r="D2" s="62" t="s">
        <v>28</v>
      </c>
      <c r="E2" s="54" t="s">
        <v>14</v>
      </c>
      <c r="F2" s="51" t="s">
        <v>13</v>
      </c>
      <c r="G2" s="51" t="s">
        <v>12</v>
      </c>
      <c r="H2" s="55">
        <v>0</v>
      </c>
      <c r="I2" s="81" t="s">
        <v>139</v>
      </c>
      <c r="J2" s="51" t="s">
        <v>140</v>
      </c>
      <c r="K2" s="63" t="s">
        <v>141</v>
      </c>
      <c r="Z2" s="51" t="s">
        <v>54</v>
      </c>
    </row>
    <row r="3" spans="2:26" s="43" customFormat="1" ht="15.95" customHeight="1">
      <c r="B3" s="43" t="s">
        <v>132</v>
      </c>
      <c r="C3" s="44" t="s">
        <v>82</v>
      </c>
      <c r="D3" s="53" t="s">
        <v>18</v>
      </c>
      <c r="E3" s="57">
        <f>VALUE(I3)</f>
        <v>42379</v>
      </c>
      <c r="F3" s="70" t="str">
        <f t="shared" ref="F3:F7" si="0">CONCATENATE(    IF(ISBLANK(B3),"",CONCATENATE(B3," --- ")),    IF(ISBLANK(J3),"",CONCATENATE(J3," --- ")))</f>
        <v xml:space="preserve">Hamlet stage play --- SHAKESPEARE PRODUCTIONES --- </v>
      </c>
      <c r="G3" s="58">
        <f>-VALUE(K3)</f>
        <v>-30</v>
      </c>
      <c r="H3" s="59">
        <f t="shared" ref="H3:H7" si="1">H2+G3</f>
        <v>-30</v>
      </c>
      <c r="I3" s="82">
        <v>42379</v>
      </c>
      <c r="J3" s="44" t="s">
        <v>133</v>
      </c>
      <c r="K3" s="60">
        <v>30</v>
      </c>
      <c r="L3" s="49"/>
      <c r="M3" s="45"/>
      <c r="N3" s="50"/>
      <c r="O3" s="46"/>
      <c r="P3" s="47"/>
      <c r="Q3" s="47"/>
      <c r="R3" s="47"/>
      <c r="S3" s="47"/>
      <c r="T3" s="47"/>
      <c r="U3" s="47"/>
      <c r="V3" s="47"/>
      <c r="W3" s="47"/>
    </row>
    <row r="4" spans="2:26" s="43" customFormat="1" ht="15.95" customHeight="1">
      <c r="B4" s="43" t="s">
        <v>109</v>
      </c>
      <c r="C4" s="44" t="s">
        <v>77</v>
      </c>
      <c r="D4" s="53" t="s">
        <v>18</v>
      </c>
      <c r="E4" s="57">
        <f>VALUE(I4)</f>
        <v>42379</v>
      </c>
      <c r="F4" s="70" t="str">
        <f t="shared" si="0"/>
        <v xml:space="preserve">Fuel --- FUEL --- </v>
      </c>
      <c r="G4" s="58">
        <f>-VALUE(K4)</f>
        <v>-50</v>
      </c>
      <c r="H4" s="59">
        <f t="shared" si="1"/>
        <v>-80</v>
      </c>
      <c r="I4" s="82">
        <v>42379</v>
      </c>
      <c r="J4" s="44" t="s">
        <v>134</v>
      </c>
      <c r="K4" s="60">
        <v>50</v>
      </c>
      <c r="L4" s="49"/>
      <c r="M4" s="45"/>
      <c r="N4" s="50"/>
      <c r="O4" s="46"/>
      <c r="P4" s="47"/>
      <c r="Q4" s="47"/>
      <c r="R4" s="47"/>
      <c r="S4" s="47"/>
      <c r="T4" s="47"/>
      <c r="U4" s="47"/>
      <c r="V4" s="47"/>
      <c r="W4" s="47"/>
    </row>
    <row r="5" spans="2:26" s="43" customFormat="1" ht="15.95" customHeight="1">
      <c r="B5" s="43" t="s">
        <v>131</v>
      </c>
      <c r="C5" s="44" t="s">
        <v>84</v>
      </c>
      <c r="D5" s="53" t="s">
        <v>31</v>
      </c>
      <c r="E5" s="57">
        <f>VALUE(I5)</f>
        <v>42391</v>
      </c>
      <c r="F5" s="70" t="str">
        <f t="shared" si="0"/>
        <v xml:space="preserve">Blue sweater --- GROCERIES --- </v>
      </c>
      <c r="G5" s="58">
        <f>-VALUE(K5)</f>
        <v>-25</v>
      </c>
      <c r="H5" s="59">
        <f t="shared" si="1"/>
        <v>-105</v>
      </c>
      <c r="I5" s="82">
        <v>42391</v>
      </c>
      <c r="J5" s="44" t="s">
        <v>135</v>
      </c>
      <c r="K5" s="60">
        <v>25</v>
      </c>
      <c r="L5" s="49"/>
      <c r="M5" s="45"/>
      <c r="N5" s="50"/>
      <c r="O5" s="46"/>
      <c r="P5" s="47"/>
      <c r="Q5" s="47"/>
      <c r="R5" s="47"/>
      <c r="S5" s="47"/>
      <c r="T5" s="47"/>
      <c r="U5" s="47"/>
      <c r="V5" s="47"/>
      <c r="W5" s="47"/>
    </row>
    <row r="6" spans="2:26" s="43" customFormat="1" ht="15.95" customHeight="1">
      <c r="B6" s="43" t="s">
        <v>130</v>
      </c>
      <c r="C6" s="44" t="s">
        <v>86</v>
      </c>
      <c r="D6" s="53" t="s">
        <v>31</v>
      </c>
      <c r="E6" s="57">
        <f>VALUE(I6)</f>
        <v>42393</v>
      </c>
      <c r="F6" s="70" t="str">
        <f>CONCATENATE(    IF(ISBLANK(B6),"",CONCATENATE(B6," --- ")),    IF(ISBLANK(J6),"",CONCATENATE(J6," --- ")))</f>
        <v xml:space="preserve">Travel to Canary islands --- TENERIFE TRAVELS --- </v>
      </c>
      <c r="G6" s="58">
        <f>-VALUE(K6)</f>
        <v>-700</v>
      </c>
      <c r="H6" s="59">
        <f t="shared" si="1"/>
        <v>-805</v>
      </c>
      <c r="I6" s="82">
        <v>42393</v>
      </c>
      <c r="J6" s="44" t="s">
        <v>136</v>
      </c>
      <c r="K6" s="60">
        <v>700</v>
      </c>
      <c r="L6" s="49"/>
      <c r="M6" s="45"/>
      <c r="N6" s="50"/>
      <c r="O6" s="46"/>
      <c r="P6" s="47"/>
      <c r="Q6" s="47"/>
      <c r="R6" s="47"/>
      <c r="S6" s="47"/>
      <c r="T6" s="47"/>
      <c r="U6" s="47"/>
      <c r="V6" s="47"/>
      <c r="W6" s="47"/>
    </row>
    <row r="7" spans="2:26" s="43" customFormat="1" ht="15.95" customHeight="1">
      <c r="B7" s="43" t="s">
        <v>129</v>
      </c>
      <c r="C7" s="44" t="s">
        <v>72</v>
      </c>
      <c r="D7" s="53" t="s">
        <v>31</v>
      </c>
      <c r="E7" s="57">
        <f>VALUE(I7)</f>
        <v>42398</v>
      </c>
      <c r="F7" s="70" t="str">
        <f t="shared" si="0"/>
        <v xml:space="preserve">RECEIPT PAYMENT --- RECEIPT PAYMENT --- </v>
      </c>
      <c r="G7" s="58">
        <f>-VALUE(K7)</f>
        <v>805</v>
      </c>
      <c r="H7" s="59">
        <f t="shared" si="1"/>
        <v>0</v>
      </c>
      <c r="I7" s="82">
        <v>42398</v>
      </c>
      <c r="J7" s="44" t="s">
        <v>129</v>
      </c>
      <c r="K7" s="60">
        <v>-805</v>
      </c>
      <c r="L7" s="49"/>
      <c r="M7" s="45"/>
      <c r="N7" s="50"/>
      <c r="O7" s="46"/>
      <c r="P7" s="47"/>
      <c r="Q7" s="47"/>
      <c r="R7" s="47"/>
      <c r="S7" s="47"/>
      <c r="T7" s="47"/>
      <c r="U7" s="47"/>
      <c r="V7" s="47"/>
      <c r="W7" s="47"/>
    </row>
    <row r="8" spans="2:26" s="43" customFormat="1" ht="15.95" customHeight="1">
      <c r="C8" s="44"/>
      <c r="D8" s="53"/>
      <c r="E8" s="57"/>
      <c r="F8" s="70"/>
      <c r="G8" s="58"/>
      <c r="H8" s="59"/>
      <c r="I8" s="82"/>
      <c r="J8" s="44"/>
      <c r="K8" s="60"/>
      <c r="L8" s="49"/>
      <c r="M8" s="45"/>
      <c r="N8" s="50"/>
      <c r="O8" s="46"/>
      <c r="P8" s="47"/>
      <c r="Q8" s="47"/>
      <c r="R8" s="47"/>
      <c r="S8" s="47"/>
      <c r="T8" s="47"/>
      <c r="U8" s="47"/>
      <c r="V8" s="47"/>
      <c r="W8" s="47"/>
    </row>
  </sheetData>
  <mergeCells count="2">
    <mergeCell ref="E1:G1"/>
    <mergeCell ref="I1:K1"/>
  </mergeCells>
  <conditionalFormatting sqref="C1:C1048576">
    <cfRule type="expression" dxfId="13" priority="6">
      <formula>AND(ISBLANK($C1),NOT(OR($G1=0,ISBLANK($G1))))</formula>
    </cfRule>
  </conditionalFormatting>
  <conditionalFormatting sqref="A1:Z1048576">
    <cfRule type="expression" dxfId="12" priority="4">
      <formula>AND(NOT(ISBLANK($Z$2)),SEARCH($Z$2,$F1))</formula>
    </cfRule>
    <cfRule type="expression" dxfId="11" priority="5" stopIfTrue="1">
      <formula>ROW($A1)&lt;=2</formula>
    </cfRule>
  </conditionalFormatting>
  <conditionalFormatting sqref="D1:D1048576">
    <cfRule type="expression" dxfId="10" priority="3">
      <formula>AND(ROW($D1)&gt;2,$D1&lt;&gt;"Y",NOT(OR($G1=0,ISBLANK($G1))))</formula>
    </cfRule>
  </conditionalFormatting>
  <conditionalFormatting sqref="I2:L2">
    <cfRule type="expression" dxfId="3" priority="1">
      <formula>AND(NOT(ISBLANK($Z$2)),SEARCH($Z$2,$F2))</formula>
    </cfRule>
    <cfRule type="expression" dxfId="2" priority="2" stopIfTrue="1">
      <formula>ROW($A2)&lt;=2</formula>
    </cfRule>
  </conditionalFormatting>
  <dataValidations count="1">
    <dataValidation type="list" allowBlank="1" showInputMessage="1" showErrorMessage="1" sqref="C3:C64772">
      <formula1>categories_list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</sheetPr>
  <dimension ref="A1:J33"/>
  <sheetViews>
    <sheetView zoomScaleNormal="100" workbookViewId="0">
      <pane ySplit="2" topLeftCell="A3" activePane="bottomLeft" state="frozenSplit"/>
      <selection pane="bottomLeft" activeCell="A27" sqref="A27"/>
    </sheetView>
  </sheetViews>
  <sheetFormatPr baseColWidth="10" defaultColWidth="9.140625" defaultRowHeight="12.75"/>
  <cols>
    <col min="1" max="1" width="43.7109375" style="2" customWidth="1"/>
    <col min="2" max="2" width="4.42578125" style="8" customWidth="1"/>
    <col min="3" max="3" width="16.28515625" style="4" customWidth="1"/>
    <col min="4" max="4" width="9.28515625" style="1" customWidth="1"/>
    <col min="5" max="5" width="15" style="4" customWidth="1"/>
    <col min="6" max="6" width="10" style="1" customWidth="1"/>
    <col min="7" max="7" width="15.5703125" style="4" customWidth="1"/>
    <col min="8" max="8" width="9.28515625" style="19" customWidth="1"/>
    <col min="9" max="9" width="14.85546875" style="4" customWidth="1"/>
    <col min="10" max="10" width="9.28515625" style="1" customWidth="1"/>
    <col min="11" max="16384" width="9.140625" style="2"/>
  </cols>
  <sheetData>
    <row r="1" spans="1:10" s="3" customFormat="1">
      <c r="A1" s="5"/>
      <c r="B1" s="6"/>
      <c r="C1" s="14" t="s">
        <v>102</v>
      </c>
      <c r="D1" s="15"/>
      <c r="E1" s="16" t="s">
        <v>99</v>
      </c>
      <c r="F1" s="15"/>
      <c r="G1" s="16" t="s">
        <v>100</v>
      </c>
      <c r="H1" s="18"/>
      <c r="I1" s="14" t="s">
        <v>101</v>
      </c>
      <c r="J1" s="15"/>
    </row>
    <row r="2" spans="1:10" s="3" customFormat="1">
      <c r="A2" s="5" t="s">
        <v>96</v>
      </c>
      <c r="B2" s="6"/>
      <c r="C2" s="7" t="s">
        <v>97</v>
      </c>
      <c r="D2" s="11" t="s">
        <v>98</v>
      </c>
      <c r="E2" s="7" t="s">
        <v>97</v>
      </c>
      <c r="F2" s="11" t="s">
        <v>98</v>
      </c>
      <c r="G2" s="7" t="s">
        <v>97</v>
      </c>
      <c r="H2" s="11" t="s">
        <v>98</v>
      </c>
      <c r="I2" s="7" t="s">
        <v>97</v>
      </c>
      <c r="J2" s="11" t="s">
        <v>98</v>
      </c>
    </row>
    <row r="3" spans="1:10" s="22" customFormat="1">
      <c r="A3" s="23" t="s">
        <v>71</v>
      </c>
      <c r="B3" s="24"/>
      <c r="C3" s="25">
        <f>SUMIF(cash!C:C,$A3,cash!G:G)</f>
        <v>0</v>
      </c>
      <c r="D3" s="26">
        <f>COUNTIF(cash!C:C,$A3)</f>
        <v>0</v>
      </c>
      <c r="E3" s="25">
        <f>SUMIF(checking_account!$C:$C,$A3,checking_account!$G:$G)</f>
        <v>0</v>
      </c>
      <c r="F3" s="26">
        <f>COUNTIF(checking_account!$C:$C,$A3)</f>
        <v>0</v>
      </c>
      <c r="G3" s="25">
        <f>SUMIF(saving_account!$C:$C,$A3,saving_account!$G:$G)</f>
        <v>0</v>
      </c>
      <c r="H3" s="26">
        <f>COUNTIF(saving_account!$C:$C,$A3)</f>
        <v>0</v>
      </c>
      <c r="I3" s="25">
        <f>SUMIF(credit_card!$C:$C,$A3,credit_card!$G:$G)</f>
        <v>0</v>
      </c>
      <c r="J3" s="26">
        <f>COUNTIF(credit_card!$C:$C,$A3)</f>
        <v>0</v>
      </c>
    </row>
    <row r="4" spans="1:10" s="22" customFormat="1">
      <c r="A4" s="23" t="s">
        <v>72</v>
      </c>
      <c r="C4" s="25">
        <f>SUMIF(cash!C:C,$A4,cash!G:G)</f>
        <v>0</v>
      </c>
      <c r="D4" s="26">
        <f>COUNTIF(cash!C:C,$A4)</f>
        <v>0</v>
      </c>
      <c r="E4" s="25">
        <f>SUMIF(checking_account!$C:$C,$A4,checking_account!$G:$G)</f>
        <v>0</v>
      </c>
      <c r="F4" s="26">
        <f>COUNTIF(checking_account!$C:$C,$A4)</f>
        <v>0</v>
      </c>
      <c r="G4" s="25">
        <f>SUMIF(saving_account!$C:$C,$A4,saving_account!$G:$G)</f>
        <v>0</v>
      </c>
      <c r="H4" s="26">
        <f>COUNTIF(saving_account!$C:$C,$A4)</f>
        <v>0</v>
      </c>
      <c r="I4" s="25">
        <f>SUMIF(credit_card!$C:$C,$A4,credit_card!$G:$G)</f>
        <v>805</v>
      </c>
      <c r="J4" s="26">
        <f>COUNTIF(credit_card!$C:$C,$A4)</f>
        <v>1</v>
      </c>
    </row>
    <row r="5" spans="1:10" s="22" customFormat="1">
      <c r="A5" s="23" t="s">
        <v>73</v>
      </c>
      <c r="C5" s="25">
        <f>SUMIF(cash!C:C,$A5,cash!G:G)</f>
        <v>0</v>
      </c>
      <c r="D5" s="26">
        <f>COUNTIF(cash!C:C,$A5)</f>
        <v>0</v>
      </c>
      <c r="E5" s="25">
        <f>SUMIF(checking_account!$C:$C,$A5,checking_account!$G:$G)</f>
        <v>-400</v>
      </c>
      <c r="F5" s="26">
        <f>COUNTIF(checking_account!$C:$C,$A5)</f>
        <v>1</v>
      </c>
      <c r="G5" s="25">
        <f>SUMIF(saving_account!$C:$C,$A5,saving_account!$G:$G)</f>
        <v>400</v>
      </c>
      <c r="H5" s="26">
        <f>COUNTIF(saving_account!$C:$C,$A5)</f>
        <v>1</v>
      </c>
      <c r="I5" s="25">
        <f>SUMIF(credit_card!$C:$C,$A5,credit_card!$G:$G)</f>
        <v>0</v>
      </c>
      <c r="J5" s="26">
        <f>COUNTIF(credit_card!$C:$C,$A5)</f>
        <v>0</v>
      </c>
    </row>
    <row r="6" spans="1:10" s="22" customFormat="1">
      <c r="A6" s="23" t="s">
        <v>74</v>
      </c>
      <c r="C6" s="25">
        <f>SUMIF(cash!C:C,$A6,cash!G:G)</f>
        <v>0</v>
      </c>
      <c r="D6" s="26">
        <f>COUNTIF(cash!C:C,$A6)</f>
        <v>0</v>
      </c>
      <c r="E6" s="25">
        <f>SUMIF(checking_account!$C:$C,$A6,checking_account!$G:$G)</f>
        <v>-250</v>
      </c>
      <c r="F6" s="26">
        <f>COUNTIF(checking_account!$C:$C,$A6)</f>
        <v>2</v>
      </c>
      <c r="G6" s="25">
        <f>SUMIF(saving_account!$C:$C,$A6,saving_account!$G:$G)</f>
        <v>0</v>
      </c>
      <c r="H6" s="26">
        <f>COUNTIF(saving_account!$C:$C,$A6)</f>
        <v>0</v>
      </c>
      <c r="I6" s="25">
        <f>SUMIF(credit_card!$C:$C,$A6,credit_card!$G:$G)</f>
        <v>0</v>
      </c>
      <c r="J6" s="26">
        <f>COUNTIF(credit_card!$C:$C,$A6)</f>
        <v>0</v>
      </c>
    </row>
    <row r="7" spans="1:10" s="22" customFormat="1">
      <c r="A7" s="23" t="s">
        <v>75</v>
      </c>
      <c r="B7" s="24"/>
      <c r="C7" s="25">
        <f>SUMIF(cash!C:C,$A7,cash!G:G)</f>
        <v>480.59999999999991</v>
      </c>
      <c r="D7" s="26">
        <f>COUNTIF(cash!C:C,$A7)</f>
        <v>2</v>
      </c>
      <c r="E7" s="25">
        <f>SUMIF(checking_account!$C:$C,$A7,checking_account!$G:$G)</f>
        <v>0</v>
      </c>
      <c r="F7" s="26">
        <f>COUNTIF(checking_account!$C:$C,$A7)</f>
        <v>0</v>
      </c>
      <c r="G7" s="25">
        <f>SUMIF(saving_account!$C:$C,$A7,saving_account!$G:$G)</f>
        <v>0</v>
      </c>
      <c r="H7" s="26">
        <f>COUNTIF(saving_account!$C:$C,$A7)</f>
        <v>0</v>
      </c>
      <c r="I7" s="25">
        <f>SUMIF(credit_card!$C:$C,$A7,credit_card!$G:$G)</f>
        <v>0</v>
      </c>
      <c r="J7" s="26">
        <f>COUNTIF(credit_card!$C:$C,$A7)</f>
        <v>0</v>
      </c>
    </row>
    <row r="8" spans="1:10" s="22" customFormat="1">
      <c r="A8" s="23" t="s">
        <v>76</v>
      </c>
      <c r="C8" s="25">
        <f>SUMIF(cash!C:C,$A8,cash!G:G)</f>
        <v>-90.92</v>
      </c>
      <c r="D8" s="26">
        <f>COUNTIF(cash!C:C,$A8)</f>
        <v>1</v>
      </c>
      <c r="E8" s="25">
        <f>SUMIF(checking_account!$C:$C,$A8,checking_account!$G:$G)</f>
        <v>0</v>
      </c>
      <c r="F8" s="26">
        <f>COUNTIF(checking_account!$C:$C,$A8)</f>
        <v>0</v>
      </c>
      <c r="G8" s="25">
        <f>SUMIF(saving_account!$C:$C,$A8,saving_account!$G:$G)</f>
        <v>0</v>
      </c>
      <c r="H8" s="26">
        <f>COUNTIF(saving_account!$C:$C,$A8)</f>
        <v>0</v>
      </c>
      <c r="I8" s="25">
        <f>SUMIF(credit_card!$C:$C,$A8,credit_card!$G:$G)</f>
        <v>0</v>
      </c>
      <c r="J8" s="26">
        <f>COUNTIF(credit_card!$C:$C,$A8)</f>
        <v>0</v>
      </c>
    </row>
    <row r="9" spans="1:10" s="22" customFormat="1">
      <c r="A9" s="23" t="s">
        <v>78</v>
      </c>
      <c r="C9" s="25">
        <f>SUMIF(cash!C:C,$A9,cash!G:G)</f>
        <v>-209.6</v>
      </c>
      <c r="D9" s="26">
        <f>COUNTIF(cash!C:C,$A9)</f>
        <v>2</v>
      </c>
      <c r="E9" s="25">
        <f>SUMIF(checking_account!$C:$C,$A9,checking_account!$G:$G)</f>
        <v>0</v>
      </c>
      <c r="F9" s="26">
        <f>COUNTIF(checking_account!$C:$C,$A9)</f>
        <v>0</v>
      </c>
      <c r="G9" s="25">
        <f>SUMIF(saving_account!$C:$C,$A9,saving_account!$G:$G)</f>
        <v>0</v>
      </c>
      <c r="H9" s="26">
        <f>COUNTIF(saving_account!$C:$C,$A9)</f>
        <v>0</v>
      </c>
      <c r="I9" s="25">
        <f>SUMIF(credit_card!$C:$C,$A9,credit_card!$G:$G)</f>
        <v>0</v>
      </c>
      <c r="J9" s="26">
        <f>COUNTIF(credit_card!$C:$C,$A9)</f>
        <v>0</v>
      </c>
    </row>
    <row r="10" spans="1:10" s="22" customFormat="1">
      <c r="A10" s="23" t="s">
        <v>79</v>
      </c>
      <c r="C10" s="25">
        <f>SUMIF(cash!C:C,$A10,cash!G:G)</f>
        <v>0</v>
      </c>
      <c r="D10" s="26">
        <f>COUNTIF(cash!C:C,$A10)</f>
        <v>0</v>
      </c>
      <c r="E10" s="25">
        <f>SUMIF(checking_account!$C:$C,$A10,checking_account!$G:$G)</f>
        <v>-75</v>
      </c>
      <c r="F10" s="26">
        <f>COUNTIF(checking_account!$C:$C,$A10)</f>
        <v>1</v>
      </c>
      <c r="G10" s="25">
        <f>SUMIF(saving_account!$C:$C,$A10,saving_account!$G:$G)</f>
        <v>0</v>
      </c>
      <c r="H10" s="26">
        <f>COUNTIF(saving_account!$C:$C,$A10)</f>
        <v>0</v>
      </c>
      <c r="I10" s="25">
        <f>SUMIF(credit_card!$C:$C,$A10,credit_card!$G:$G)</f>
        <v>0</v>
      </c>
      <c r="J10" s="26">
        <f>COUNTIF(credit_card!$C:$C,$A10)</f>
        <v>0</v>
      </c>
    </row>
    <row r="11" spans="1:10" s="22" customFormat="1">
      <c r="A11" s="23" t="s">
        <v>77</v>
      </c>
      <c r="C11" s="25">
        <f>SUMIF(cash!C:C,$A11,cash!G:G)</f>
        <v>0</v>
      </c>
      <c r="D11" s="26">
        <f>COUNTIF(cash!C:C,$A11)</f>
        <v>0</v>
      </c>
      <c r="E11" s="25">
        <f>SUMIF(checking_account!$C:$C,$A11,checking_account!$G:$G)</f>
        <v>-55</v>
      </c>
      <c r="F11" s="26">
        <f>COUNTIF(checking_account!$C:$C,$A11)</f>
        <v>1</v>
      </c>
      <c r="G11" s="25">
        <f>SUMIF(saving_account!$C:$C,$A11,saving_account!$G:$G)</f>
        <v>0</v>
      </c>
      <c r="H11" s="26">
        <f>COUNTIF(saving_account!$C:$C,$A11)</f>
        <v>0</v>
      </c>
      <c r="I11" s="25">
        <f>SUMIF(credit_card!$C:$C,$A11,credit_card!$G:$G)</f>
        <v>-50</v>
      </c>
      <c r="J11" s="26">
        <f>COUNTIF(credit_card!$C:$C,$A11)</f>
        <v>1</v>
      </c>
    </row>
    <row r="12" spans="1:10" s="22" customFormat="1">
      <c r="A12" s="23" t="s">
        <v>80</v>
      </c>
      <c r="C12" s="25">
        <f>SUMIF(cash!C:C,$A12,cash!G:G)</f>
        <v>0</v>
      </c>
      <c r="D12" s="26">
        <f>COUNTIF(cash!C:C,$A12)</f>
        <v>0</v>
      </c>
      <c r="E12" s="25">
        <f>SUMIF(checking_account!$C:$C,$A12,checking_account!$G:$G)</f>
        <v>0</v>
      </c>
      <c r="F12" s="26">
        <f>COUNTIF(checking_account!$C:$C,$A12)</f>
        <v>0</v>
      </c>
      <c r="G12" s="25">
        <f>SUMIF(saving_account!$C:$C,$A12,saving_account!$G:$G)</f>
        <v>0</v>
      </c>
      <c r="H12" s="26">
        <f>COUNTIF(saving_account!$C:$C,$A12)</f>
        <v>0</v>
      </c>
      <c r="I12" s="25">
        <f>SUMIF(credit_card!$C:$C,$A12,credit_card!$G:$G)</f>
        <v>0</v>
      </c>
      <c r="J12" s="26">
        <f>COUNTIF(credit_card!$C:$C,$A12)</f>
        <v>0</v>
      </c>
    </row>
    <row r="13" spans="1:10" s="22" customFormat="1">
      <c r="A13" s="23" t="s">
        <v>81</v>
      </c>
      <c r="C13" s="25">
        <f>SUMIF(cash!C:C,$A13,cash!G:G)</f>
        <v>0</v>
      </c>
      <c r="D13" s="26">
        <f>COUNTIF(cash!C:C,$A13)</f>
        <v>0</v>
      </c>
      <c r="E13" s="25">
        <f>SUMIF(checking_account!$C:$C,$A13,checking_account!$G:$G)</f>
        <v>0</v>
      </c>
      <c r="F13" s="26">
        <f>COUNTIF(checking_account!$C:$C,$A13)</f>
        <v>0</v>
      </c>
      <c r="G13" s="25">
        <f>SUMIF(saving_account!$C:$C,$A13,saving_account!$G:$G)</f>
        <v>0</v>
      </c>
      <c r="H13" s="26">
        <f>COUNTIF(saving_account!$C:$C,$A13)</f>
        <v>0</v>
      </c>
      <c r="I13" s="25">
        <f>SUMIF(credit_card!$C:$C,$A13,credit_card!$G:$G)</f>
        <v>0</v>
      </c>
      <c r="J13" s="26">
        <f>COUNTIF(credit_card!$C:$C,$A13)</f>
        <v>0</v>
      </c>
    </row>
    <row r="14" spans="1:10" s="22" customFormat="1">
      <c r="A14" s="23" t="s">
        <v>82</v>
      </c>
      <c r="C14" s="25">
        <f>SUMIF(cash!C:C,$A14,cash!G:G)</f>
        <v>0</v>
      </c>
      <c r="D14" s="26">
        <f>COUNTIF(cash!C:C,$A14)</f>
        <v>0</v>
      </c>
      <c r="E14" s="25">
        <f>SUMIF(checking_account!$C:$C,$A14,checking_account!$G:$G)</f>
        <v>-30</v>
      </c>
      <c r="F14" s="26">
        <f>COUNTIF(checking_account!$C:$C,$A14)</f>
        <v>1</v>
      </c>
      <c r="G14" s="25">
        <f>SUMIF(saving_account!$C:$C,$A14,saving_account!$G:$G)</f>
        <v>0</v>
      </c>
      <c r="H14" s="26">
        <f>COUNTIF(saving_account!$C:$C,$A14)</f>
        <v>0</v>
      </c>
      <c r="I14" s="25">
        <f>SUMIF(credit_card!$C:$C,$A14,credit_card!$G:$G)</f>
        <v>-30</v>
      </c>
      <c r="J14" s="26">
        <f>COUNTIF(credit_card!$C:$C,$A14)</f>
        <v>1</v>
      </c>
    </row>
    <row r="15" spans="1:10" s="22" customFormat="1">
      <c r="A15" s="23" t="s">
        <v>83</v>
      </c>
      <c r="C15" s="25">
        <f>SUMIF(cash!C:C,$A15,cash!G:G)</f>
        <v>0</v>
      </c>
      <c r="D15" s="26">
        <f>COUNTIF(cash!C:C,$A15)</f>
        <v>0</v>
      </c>
      <c r="E15" s="25">
        <f>SUMIF(checking_account!$C:$C,$A15,checking_account!$G:$G)</f>
        <v>0</v>
      </c>
      <c r="F15" s="26">
        <f>COUNTIF(checking_account!$C:$C,$A15)</f>
        <v>0</v>
      </c>
      <c r="G15" s="25">
        <f>SUMIF(saving_account!$C:$C,$A15,saving_account!$G:$G)</f>
        <v>0</v>
      </c>
      <c r="H15" s="26">
        <f>COUNTIF(saving_account!$C:$C,$A15)</f>
        <v>0</v>
      </c>
      <c r="I15" s="25">
        <f>SUMIF(credit_card!$C:$C,$A15,credit_card!$G:$G)</f>
        <v>0</v>
      </c>
      <c r="J15" s="26">
        <f>COUNTIF(credit_card!$C:$C,$A15)</f>
        <v>0</v>
      </c>
    </row>
    <row r="16" spans="1:10" s="22" customFormat="1">
      <c r="A16" s="23" t="s">
        <v>103</v>
      </c>
      <c r="C16" s="25">
        <f>SUMIF(cash!C:C,$A16,cash!G:G)</f>
        <v>0</v>
      </c>
      <c r="D16" s="26">
        <f>COUNTIF(cash!C:C,$A16)</f>
        <v>0</v>
      </c>
      <c r="E16" s="25">
        <f>SUMIF(checking_account!$C:$C,$A16,checking_account!$G:$G)</f>
        <v>-25</v>
      </c>
      <c r="F16" s="26">
        <f>COUNTIF(checking_account!$C:$C,$A16)</f>
        <v>1</v>
      </c>
      <c r="G16" s="25">
        <f>SUMIF(saving_account!$C:$C,$A16,saving_account!$G:$G)</f>
        <v>0</v>
      </c>
      <c r="H16" s="26">
        <f>COUNTIF(saving_account!$C:$C,$A16)</f>
        <v>0</v>
      </c>
      <c r="I16" s="25">
        <f>SUMIF(credit_card!$C:$C,$A16,credit_card!$G:$G)</f>
        <v>0</v>
      </c>
      <c r="J16" s="26">
        <f>COUNTIF(credit_card!$C:$C,$A16)</f>
        <v>0</v>
      </c>
    </row>
    <row r="17" spans="1:10" s="22" customFormat="1">
      <c r="A17" s="23" t="s">
        <v>84</v>
      </c>
      <c r="C17" s="25">
        <f>SUMIF(cash!C:C,$A17,cash!G:G)</f>
        <v>-87.5</v>
      </c>
      <c r="D17" s="26">
        <f>COUNTIF(cash!C:C,$A17)</f>
        <v>1</v>
      </c>
      <c r="E17" s="25">
        <f>SUMIF(checking_account!$C:$C,$A17,checking_account!$G:$G)</f>
        <v>0</v>
      </c>
      <c r="F17" s="26">
        <f>COUNTIF(checking_account!$C:$C,$A17)</f>
        <v>0</v>
      </c>
      <c r="G17" s="25">
        <f>SUMIF(saving_account!$C:$C,$A17,saving_account!$G:$G)</f>
        <v>0</v>
      </c>
      <c r="H17" s="26">
        <f>COUNTIF(saving_account!$C:$C,$A17)</f>
        <v>0</v>
      </c>
      <c r="I17" s="25">
        <f>SUMIF(credit_card!$C:$C,$A17,credit_card!$G:$G)</f>
        <v>-25</v>
      </c>
      <c r="J17" s="26">
        <f>COUNTIF(credit_card!$C:$C,$A17)</f>
        <v>1</v>
      </c>
    </row>
    <row r="18" spans="1:10" s="22" customFormat="1">
      <c r="A18" s="23" t="s">
        <v>85</v>
      </c>
      <c r="C18" s="25">
        <f>SUMIF(cash!C:C,$A18,cash!G:G)</f>
        <v>0</v>
      </c>
      <c r="D18" s="26">
        <f>COUNTIF(cash!C:C,$A18)</f>
        <v>0</v>
      </c>
      <c r="E18" s="25">
        <f>SUMIF(checking_account!$C:$C,$A18,checking_account!$G:$G)</f>
        <v>-15</v>
      </c>
      <c r="F18" s="26">
        <f>COUNTIF(checking_account!$C:$C,$A18)</f>
        <v>1</v>
      </c>
      <c r="G18" s="25">
        <f>SUMIF(saving_account!$C:$C,$A18,saving_account!$G:$G)</f>
        <v>0</v>
      </c>
      <c r="H18" s="26">
        <f>COUNTIF(saving_account!$C:$C,$A18)</f>
        <v>0</v>
      </c>
      <c r="I18" s="25">
        <f>SUMIF(credit_card!$C:$C,$A18,credit_card!$G:$G)</f>
        <v>0</v>
      </c>
      <c r="J18" s="26">
        <f>COUNTIF(credit_card!$C:$C,$A18)</f>
        <v>0</v>
      </c>
    </row>
    <row r="19" spans="1:10" s="22" customFormat="1">
      <c r="A19" s="23" t="s">
        <v>86</v>
      </c>
      <c r="C19" s="25">
        <f>SUMIF(cash!C:C,$A19,cash!G:G)</f>
        <v>0</v>
      </c>
      <c r="D19" s="26">
        <f>COUNTIF(cash!C:C,$A19)</f>
        <v>0</v>
      </c>
      <c r="E19" s="25">
        <f>SUMIF(checking_account!$C:$C,$A19,checking_account!$G:$G)</f>
        <v>0</v>
      </c>
      <c r="F19" s="26">
        <f>COUNTIF(checking_account!$C:$C,$A19)</f>
        <v>0</v>
      </c>
      <c r="G19" s="25">
        <f>SUMIF(saving_account!$C:$C,$A19,saving_account!$G:$G)</f>
        <v>0</v>
      </c>
      <c r="H19" s="26">
        <f>COUNTIF(saving_account!$C:$C,$A19)</f>
        <v>0</v>
      </c>
      <c r="I19" s="25">
        <f>SUMIF(credit_card!$C:$C,$A19,credit_card!$G:$G)</f>
        <v>-700</v>
      </c>
      <c r="J19" s="26">
        <f>COUNTIF(credit_card!$C:$C,$A19)</f>
        <v>1</v>
      </c>
    </row>
    <row r="20" spans="1:10" s="22" customFormat="1">
      <c r="A20" s="23" t="s">
        <v>87</v>
      </c>
      <c r="B20" s="24"/>
      <c r="C20" s="25">
        <f>SUMIF(cash!C:C,$A20,cash!G:G)</f>
        <v>0</v>
      </c>
      <c r="D20" s="26">
        <f>COUNTIF(cash!C:C,$A20)</f>
        <v>0</v>
      </c>
      <c r="E20" s="25">
        <f>SUMIF(checking_account!$C:$C,$A20,checking_account!$G:$G)</f>
        <v>0</v>
      </c>
      <c r="F20" s="26">
        <f>COUNTIF(checking_account!$C:$C,$A20)</f>
        <v>0</v>
      </c>
      <c r="G20" s="25">
        <f>SUMIF(saving_account!$C:$C,$A20,saving_account!$G:$G)</f>
        <v>0</v>
      </c>
      <c r="H20" s="26">
        <f>COUNTIF(saving_account!$C:$C,$A20)</f>
        <v>0</v>
      </c>
      <c r="I20" s="25">
        <f>SUMIF(credit_card!$C:$C,$A20,credit_card!$G:$G)</f>
        <v>0</v>
      </c>
      <c r="J20" s="26">
        <f>COUNTIF(credit_card!$C:$C,$A20)</f>
        <v>0</v>
      </c>
    </row>
    <row r="21" spans="1:10" s="22" customFormat="1">
      <c r="A21" s="23" t="s">
        <v>88</v>
      </c>
      <c r="B21" s="24"/>
      <c r="C21" s="25">
        <f>SUMIF(cash!C:C,$A21,cash!G:G)</f>
        <v>0</v>
      </c>
      <c r="D21" s="26">
        <f>COUNTIF(cash!C:C,$A21)</f>
        <v>0</v>
      </c>
      <c r="E21" s="25">
        <f>SUMIF(checking_account!$C:$C,$A21,checking_account!$G:$G)</f>
        <v>0.12</v>
      </c>
      <c r="F21" s="26">
        <f>COUNTIF(checking_account!$C:$C,$A21)</f>
        <v>1</v>
      </c>
      <c r="G21" s="25">
        <f>SUMIF(saving_account!$C:$C,$A21,saving_account!$G:$G)</f>
        <v>0</v>
      </c>
      <c r="H21" s="26">
        <f>COUNTIF(saving_account!$C:$C,$A21)</f>
        <v>0</v>
      </c>
      <c r="I21" s="25">
        <f>SUMIF(credit_card!$C:$C,$A21,credit_card!$G:$G)</f>
        <v>0</v>
      </c>
      <c r="J21" s="26">
        <f>COUNTIF(credit_card!$C:$C,$A21)</f>
        <v>0</v>
      </c>
    </row>
    <row r="22" spans="1:10" s="22" customFormat="1">
      <c r="A22" s="23" t="s">
        <v>89</v>
      </c>
      <c r="B22" s="24"/>
      <c r="C22" s="25">
        <f>SUMIF(cash!C:C,$A22,cash!G:G)</f>
        <v>0</v>
      </c>
      <c r="D22" s="26">
        <f>COUNTIF(cash!C:C,$A22)</f>
        <v>0</v>
      </c>
      <c r="E22" s="25">
        <f>SUMIF(checking_account!$C:$C,$A22,checking_account!$G:$G)</f>
        <v>0</v>
      </c>
      <c r="F22" s="26">
        <f>COUNTIF(checking_account!$C:$C,$A22)</f>
        <v>0</v>
      </c>
      <c r="G22" s="25">
        <f>SUMIF(saving_account!$C:$C,$A22,saving_account!$G:$G)</f>
        <v>6.1</v>
      </c>
      <c r="H22" s="26">
        <f>COUNTIF(saving_account!$C:$C,$A22)</f>
        <v>1</v>
      </c>
      <c r="I22" s="25">
        <f>SUMIF(credit_card!$C:$C,$A22,credit_card!$G:$G)</f>
        <v>0</v>
      </c>
      <c r="J22" s="26">
        <f>COUNTIF(credit_card!$C:$C,$A22)</f>
        <v>0</v>
      </c>
    </row>
    <row r="23" spans="1:10" s="22" customFormat="1">
      <c r="A23" s="23" t="s">
        <v>90</v>
      </c>
      <c r="B23" s="24"/>
      <c r="C23" s="25">
        <f>SUMIF(cash!C:C,$A23,cash!G:G)</f>
        <v>0</v>
      </c>
      <c r="D23" s="26">
        <f>COUNTIF(cash!C:C,$A23)</f>
        <v>0</v>
      </c>
      <c r="E23" s="25">
        <f>SUMIF(checking_account!$C:$C,$A23,checking_account!$G:$G)</f>
        <v>1800</v>
      </c>
      <c r="F23" s="26">
        <f>COUNTIF(checking_account!$C:$C,$A23)</f>
        <v>1</v>
      </c>
      <c r="G23" s="25">
        <f>SUMIF(saving_account!$C:$C,$A23,saving_account!$G:$G)</f>
        <v>0</v>
      </c>
      <c r="H23" s="26">
        <f>COUNTIF(saving_account!$C:$C,$A23)</f>
        <v>0</v>
      </c>
      <c r="I23" s="25">
        <f>SUMIF(credit_card!$C:$C,$A23,credit_card!$G:$G)</f>
        <v>0</v>
      </c>
      <c r="J23" s="26">
        <f>COUNTIF(credit_card!$C:$C,$A23)</f>
        <v>0</v>
      </c>
    </row>
    <row r="24" spans="1:10" s="22" customFormat="1">
      <c r="A24" s="23" t="s">
        <v>91</v>
      </c>
      <c r="B24" s="24"/>
      <c r="C24" s="25">
        <f>SUMIF(cash!C:C,$A24,cash!G:G)</f>
        <v>0</v>
      </c>
      <c r="D24" s="26">
        <f>COUNTIF(cash!C:C,$A24)</f>
        <v>0</v>
      </c>
      <c r="E24" s="25">
        <f>SUMIF(checking_account!$C:$C,$A24,checking_account!$G:$G)</f>
        <v>-600</v>
      </c>
      <c r="F24" s="26">
        <f>COUNTIF(checking_account!$C:$C,$A24)</f>
        <v>1</v>
      </c>
      <c r="G24" s="25">
        <f>SUMIF(saving_account!$C:$C,$A24,saving_account!$G:$G)</f>
        <v>0</v>
      </c>
      <c r="H24" s="26">
        <f>COUNTIF(saving_account!$C:$C,$A24)</f>
        <v>0</v>
      </c>
      <c r="I24" s="25">
        <f>SUMIF(credit_card!$C:$C,$A24,credit_card!$G:$G)</f>
        <v>0</v>
      </c>
      <c r="J24" s="26">
        <f>COUNTIF(credit_card!$C:$C,$A24)</f>
        <v>0</v>
      </c>
    </row>
    <row r="25" spans="1:10" s="22" customFormat="1">
      <c r="A25" s="23" t="s">
        <v>92</v>
      </c>
      <c r="B25" s="24"/>
      <c r="C25" s="25">
        <f>SUMIF(cash!C:C,$A25,cash!G:G)</f>
        <v>0</v>
      </c>
      <c r="D25" s="26">
        <f>COUNTIF(cash!C:C,$A25)</f>
        <v>0</v>
      </c>
      <c r="E25" s="25">
        <f>SUMIF(checking_account!$C:$C,$A25,checking_account!$G:$G)</f>
        <v>-1105</v>
      </c>
      <c r="F25" s="26">
        <f>COUNTIF(checking_account!$C:$C,$A25)</f>
        <v>2</v>
      </c>
      <c r="G25" s="25">
        <f>SUMIF(saving_account!$C:$C,$A25,saving_account!$G:$G)</f>
        <v>0</v>
      </c>
      <c r="H25" s="26">
        <f>COUNTIF(saving_account!$C:$C,$A25)</f>
        <v>0</v>
      </c>
      <c r="I25" s="25">
        <f>SUMIF(credit_card!$C:$C,$A25,credit_card!$G:$G)</f>
        <v>0</v>
      </c>
      <c r="J25" s="26">
        <f>COUNTIF(credit_card!$C:$C,$A25)</f>
        <v>0</v>
      </c>
    </row>
    <row r="26" spans="1:10" s="9" customFormat="1">
      <c r="A26" s="10"/>
      <c r="B26" s="10"/>
      <c r="C26" s="12"/>
      <c r="D26" s="17"/>
      <c r="E26" s="12"/>
      <c r="F26" s="17"/>
      <c r="G26" s="12"/>
      <c r="H26" s="17"/>
      <c r="I26" s="12"/>
      <c r="J26" s="17"/>
    </row>
    <row r="27" spans="1:10" s="32" customFormat="1">
      <c r="A27" s="28" t="s">
        <v>143</v>
      </c>
      <c r="B27" s="29"/>
      <c r="C27" s="30">
        <f>SUMIF(cash!C:C,"",cash!G:G)</f>
        <v>0</v>
      </c>
      <c r="D27" s="31">
        <f>COUNTIF(cash!C:C,"")-COUNTIF(cash!G:G,"")</f>
        <v>0</v>
      </c>
      <c r="E27" s="30">
        <f>SUMIF(checking_account!$C:$C,"",checking_account!$G:$G)</f>
        <v>0</v>
      </c>
      <c r="F27" s="31">
        <f>COUNTIF(checking_account!$C:$C,"")-COUNTIF(checking_account!$H:$H,"")</f>
        <v>0</v>
      </c>
      <c r="G27" s="30">
        <f>SUMIF(saving_account!$C:$C,"",saving_account!$G:$G)</f>
        <v>0</v>
      </c>
      <c r="H27" s="31">
        <f>COUNTIF(saving_account!$C:$C,"")-COUNTIF(saving_account!$H:$H,"")</f>
        <v>0</v>
      </c>
      <c r="I27" s="30">
        <f>SUMIF(credit_card!$C:$C,"",credit_card!$G:$G)</f>
        <v>0</v>
      </c>
      <c r="J27" s="31">
        <f>COUNTIF(credit_card!$C:$C,"")-COUNTIF(credit_card!$H:$H,"")</f>
        <v>0</v>
      </c>
    </row>
    <row r="29" spans="1:10" s="37" customFormat="1">
      <c r="A29" s="33" t="s">
        <v>51</v>
      </c>
      <c r="B29" s="34"/>
      <c r="C29" s="35">
        <f t="shared" ref="C29:J29" si="0">SUM(C3:C27)</f>
        <v>92.579999999999899</v>
      </c>
      <c r="D29" s="27">
        <f t="shared" si="0"/>
        <v>6</v>
      </c>
      <c r="E29" s="35">
        <f t="shared" si="0"/>
        <v>-754.88</v>
      </c>
      <c r="F29" s="27">
        <f t="shared" si="0"/>
        <v>13</v>
      </c>
      <c r="G29" s="35">
        <f t="shared" si="0"/>
        <v>406.1</v>
      </c>
      <c r="H29" s="27">
        <f t="shared" si="0"/>
        <v>2</v>
      </c>
      <c r="I29" s="35">
        <f t="shared" si="0"/>
        <v>0</v>
      </c>
      <c r="J29" s="36">
        <f t="shared" si="0"/>
        <v>5</v>
      </c>
    </row>
    <row r="30" spans="1:10" s="69" customFormat="1">
      <c r="A30" s="64"/>
      <c r="B30" s="65"/>
      <c r="C30" s="66"/>
      <c r="D30" s="67"/>
      <c r="E30" s="66"/>
      <c r="F30" s="67"/>
      <c r="G30" s="66"/>
      <c r="H30" s="67"/>
      <c r="I30" s="66"/>
      <c r="J30" s="68"/>
    </row>
    <row r="31" spans="1:10" s="41" customFormat="1">
      <c r="A31" s="42" t="s">
        <v>93</v>
      </c>
      <c r="B31" s="38"/>
      <c r="C31" s="39"/>
      <c r="D31" s="40"/>
      <c r="E31" s="39">
        <f>initial_balance_checking_account</f>
        <v>3000</v>
      </c>
      <c r="F31" s="40"/>
      <c r="G31" s="39">
        <f>initial_balance_saving_account</f>
        <v>10000</v>
      </c>
      <c r="H31" s="40"/>
      <c r="I31" s="39">
        <f>initial_balance_credit_card</f>
        <v>0</v>
      </c>
      <c r="J31" s="40"/>
    </row>
    <row r="32" spans="1:10" s="41" customFormat="1">
      <c r="A32" s="42" t="s">
        <v>94</v>
      </c>
      <c r="B32" s="38"/>
      <c r="C32" s="35"/>
      <c r="D32" s="40"/>
      <c r="E32" s="35">
        <f>E31+E29</f>
        <v>2245.12</v>
      </c>
      <c r="F32" s="40"/>
      <c r="G32" s="35">
        <f>G31+G29</f>
        <v>10406.1</v>
      </c>
      <c r="H32" s="40"/>
      <c r="I32" s="35">
        <f>I31+I29</f>
        <v>0</v>
      </c>
      <c r="J32" s="40"/>
    </row>
    <row r="33" spans="1:10" s="41" customFormat="1">
      <c r="A33" s="42" t="s">
        <v>95</v>
      </c>
      <c r="B33" s="38"/>
      <c r="C33" s="35"/>
      <c r="D33" s="40"/>
      <c r="E33" s="35">
        <f>INDEX(checking_account!$H:$H,COUNTA(checking_account!$H:$H),1)</f>
        <v>2245.12</v>
      </c>
      <c r="F33" s="27"/>
      <c r="G33" s="35">
        <f>INDEX(saving_account!$H:$H,COUNTA(saving_account!$H:$H),1)</f>
        <v>10406.1</v>
      </c>
      <c r="H33" s="40"/>
      <c r="I33" s="35">
        <f>INDEX(credit_card!$H:$H,COUNTA(credit_card!$H:$H),1)</f>
        <v>0</v>
      </c>
      <c r="J33" s="40"/>
    </row>
  </sheetData>
  <sortState ref="A4:O22">
    <sortCondition ref="A4:A22"/>
  </sortState>
  <phoneticPr fontId="4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8">
    <pageSetUpPr autoPageBreaks="0"/>
  </sheetPr>
  <dimension ref="B1:Z15"/>
  <sheetViews>
    <sheetView zoomScale="80" zoomScaleNormal="80" workbookViewId="0">
      <pane ySplit="2" topLeftCell="A3" activePane="bottomLeft" state="frozenSplit"/>
      <selection pane="bottomLeft" sqref="A1:XFD1048576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3" customWidth="1"/>
    <col min="5" max="5" width="16.42578125" style="57" customWidth="1"/>
    <col min="6" max="6" width="18.5703125" style="70" customWidth="1"/>
    <col min="7" max="7" width="12.85546875" style="58" customWidth="1"/>
    <col min="8" max="8" width="12.28515625" style="59" customWidth="1"/>
    <col min="9" max="9" width="16.5703125" style="82" customWidth="1"/>
    <col min="10" max="10" width="27.140625" style="44"/>
    <col min="11" max="11" width="11.85546875" style="60" customWidth="1"/>
    <col min="12" max="12" width="11.5703125" style="49" customWidth="1"/>
    <col min="13" max="14" width="11.28515625" style="50" customWidth="1"/>
    <col min="15" max="16384" width="27.140625" style="47"/>
  </cols>
  <sheetData>
    <row r="1" spans="2:26" s="20" customFormat="1" ht="43.5" customHeight="1">
      <c r="B1" s="20" t="s">
        <v>48</v>
      </c>
      <c r="C1" s="20" t="s">
        <v>50</v>
      </c>
      <c r="D1" s="52" t="s">
        <v>29</v>
      </c>
      <c r="E1" s="77" t="s">
        <v>47</v>
      </c>
      <c r="F1" s="78"/>
      <c r="G1" s="78"/>
      <c r="H1" s="56" t="s">
        <v>49</v>
      </c>
      <c r="I1" s="79" t="s">
        <v>33</v>
      </c>
      <c r="J1" s="80"/>
      <c r="K1" s="80"/>
      <c r="L1" s="48"/>
      <c r="M1" s="61"/>
      <c r="N1" s="61"/>
      <c r="Z1" s="20" t="s">
        <v>45</v>
      </c>
    </row>
    <row r="2" spans="2:26" s="51" customFormat="1" ht="32.25" customHeight="1" outlineLevel="1">
      <c r="C2" s="51" t="s">
        <v>11</v>
      </c>
      <c r="D2" s="62" t="s">
        <v>28</v>
      </c>
      <c r="E2" s="54" t="s">
        <v>14</v>
      </c>
      <c r="F2" s="51" t="s">
        <v>13</v>
      </c>
      <c r="G2" s="51" t="s">
        <v>12</v>
      </c>
      <c r="H2" s="55">
        <v>3000</v>
      </c>
      <c r="I2" s="81" t="s">
        <v>0</v>
      </c>
      <c r="J2" s="51" t="s">
        <v>1</v>
      </c>
      <c r="K2" s="63" t="s">
        <v>2</v>
      </c>
      <c r="L2" s="51" t="s">
        <v>3</v>
      </c>
      <c r="M2" s="51" t="s">
        <v>25</v>
      </c>
      <c r="N2" s="51" t="s">
        <v>24</v>
      </c>
    </row>
    <row r="3" spans="2:26" s="43" customFormat="1" ht="15.95" customHeight="1">
      <c r="B3" s="43" t="s">
        <v>32</v>
      </c>
      <c r="C3" s="44" t="s">
        <v>23</v>
      </c>
      <c r="D3" s="53" t="s">
        <v>18</v>
      </c>
      <c r="E3" s="57">
        <f t="shared" ref="E3:E14" si="0">I3</f>
        <v>42371</v>
      </c>
      <c r="F3" s="70" t="str">
        <f>CONCATENATE(    IF(ISBLANK(B3),"",CONCATENATE(B3," --- ")),    IF(ISBLANK(J3),"",CONCATENATE(J3," --- ")))</f>
        <v xml:space="preserve">gasto mensual tarjeta crédito --- RECIBOS VARIOS --- </v>
      </c>
      <c r="G3" s="58">
        <f t="shared" ref="G3:G14" si="1">VALUE(K3)</f>
        <v>-300</v>
      </c>
      <c r="H3" s="59">
        <f>initial_balance_checking_account+G3</f>
        <v>2700</v>
      </c>
      <c r="I3" s="82">
        <v>42371</v>
      </c>
      <c r="J3" s="44" t="s">
        <v>7</v>
      </c>
      <c r="K3" s="60">
        <v>-300</v>
      </c>
      <c r="L3" s="49" t="s">
        <v>5</v>
      </c>
      <c r="M3" s="45">
        <v>87.5</v>
      </c>
      <c r="N3" s="50"/>
      <c r="O3" s="46"/>
      <c r="P3" s="47"/>
      <c r="Q3" s="47"/>
      <c r="R3" s="47"/>
      <c r="S3" s="47"/>
      <c r="T3" s="47"/>
      <c r="U3" s="47"/>
      <c r="V3" s="47"/>
      <c r="W3" s="47"/>
    </row>
    <row r="4" spans="2:26" s="43" customFormat="1" ht="15.95" customHeight="1">
      <c r="B4" s="43" t="s">
        <v>34</v>
      </c>
      <c r="C4" s="44" t="s">
        <v>27</v>
      </c>
      <c r="D4" s="53" t="s">
        <v>18</v>
      </c>
      <c r="E4" s="57">
        <f t="shared" si="0"/>
        <v>42372</v>
      </c>
      <c r="F4" s="70" t="str">
        <f t="shared" ref="F4:F14" si="2">CONCATENATE(    IF(ISBLANK(B4),"",CONCATENATE(B4," --- ")),    IF(ISBLANK(J4),"",CONCATENATE(J4," --- ")))</f>
        <v xml:space="preserve">revista parapente --- RECIBOS VARIOS --- </v>
      </c>
      <c r="G4" s="58">
        <f t="shared" si="1"/>
        <v>-25</v>
      </c>
      <c r="H4" s="59">
        <f t="shared" ref="H4:H15" si="3">H3+G4</f>
        <v>2675</v>
      </c>
      <c r="I4" s="82">
        <v>42372</v>
      </c>
      <c r="J4" s="44" t="s">
        <v>7</v>
      </c>
      <c r="K4" s="60">
        <v>-25</v>
      </c>
      <c r="L4" s="49" t="s">
        <v>5</v>
      </c>
      <c r="M4" s="45">
        <v>1000</v>
      </c>
      <c r="N4" s="50"/>
      <c r="O4" s="46"/>
      <c r="P4" s="47"/>
      <c r="Q4" s="47"/>
      <c r="R4" s="47"/>
      <c r="S4" s="47"/>
      <c r="T4" s="47"/>
      <c r="U4" s="47"/>
      <c r="V4" s="47"/>
      <c r="W4" s="47"/>
    </row>
    <row r="5" spans="2:26" s="43" customFormat="1" ht="15.95" customHeight="1">
      <c r="B5" s="43" t="s">
        <v>36</v>
      </c>
      <c r="C5" s="44" t="s">
        <v>35</v>
      </c>
      <c r="D5" s="53" t="s">
        <v>18</v>
      </c>
      <c r="E5" s="57">
        <f t="shared" si="0"/>
        <v>42373</v>
      </c>
      <c r="F5" s="70" t="str">
        <f t="shared" si="2"/>
        <v xml:space="preserve">teléfono móvil --- RECIBOS VARIOS --- </v>
      </c>
      <c r="G5" s="58">
        <f t="shared" si="1"/>
        <v>-15</v>
      </c>
      <c r="H5" s="59">
        <f t="shared" si="3"/>
        <v>2660</v>
      </c>
      <c r="I5" s="82">
        <v>42373</v>
      </c>
      <c r="J5" s="44" t="s">
        <v>7</v>
      </c>
      <c r="K5" s="60">
        <v>-15</v>
      </c>
      <c r="L5" s="49" t="s">
        <v>5</v>
      </c>
      <c r="M5" s="45">
        <v>90.92</v>
      </c>
      <c r="N5" s="50"/>
      <c r="O5" s="46"/>
      <c r="P5" s="47"/>
      <c r="Q5" s="47"/>
      <c r="R5" s="47"/>
      <c r="S5" s="47"/>
      <c r="T5" s="47"/>
      <c r="U5" s="47"/>
      <c r="V5" s="47"/>
      <c r="W5" s="47"/>
    </row>
    <row r="6" spans="2:26" s="43" customFormat="1" ht="15.95" customHeight="1">
      <c r="B6" s="43" t="s">
        <v>37</v>
      </c>
      <c r="C6" s="44" t="s">
        <v>20</v>
      </c>
      <c r="D6" s="53" t="s">
        <v>18</v>
      </c>
      <c r="E6" s="57">
        <f t="shared" si="0"/>
        <v>42374</v>
      </c>
      <c r="F6" s="70" t="str">
        <f t="shared" si="2"/>
        <v xml:space="preserve">Respuestos helicóptero control remoto --- CARGO COMPRA --- </v>
      </c>
      <c r="G6" s="58">
        <f t="shared" si="1"/>
        <v>-30</v>
      </c>
      <c r="H6" s="59">
        <f t="shared" si="3"/>
        <v>2630</v>
      </c>
      <c r="I6" s="82">
        <v>42374</v>
      </c>
      <c r="J6" s="44" t="s">
        <v>6</v>
      </c>
      <c r="K6" s="60">
        <v>-30</v>
      </c>
      <c r="L6" s="49" t="s">
        <v>5</v>
      </c>
      <c r="M6" s="45">
        <v>75</v>
      </c>
      <c r="N6" s="50"/>
      <c r="O6" s="46"/>
      <c r="P6" s="47"/>
      <c r="Q6" s="47"/>
      <c r="R6" s="47"/>
      <c r="S6" s="47"/>
      <c r="T6" s="47"/>
      <c r="U6" s="47"/>
      <c r="V6" s="47"/>
      <c r="W6" s="47"/>
    </row>
    <row r="7" spans="2:26" s="43" customFormat="1" ht="15.95" customHeight="1">
      <c r="B7" s="43" t="s">
        <v>38</v>
      </c>
      <c r="C7" s="44" t="s">
        <v>19</v>
      </c>
      <c r="D7" s="53" t="s">
        <v>18</v>
      </c>
      <c r="E7" s="57">
        <f t="shared" si="0"/>
        <v>42375</v>
      </c>
      <c r="F7" s="70" t="str">
        <f t="shared" si="2"/>
        <v xml:space="preserve">Saco del cajero --- REINTEGRO CAJERO AUTOMATICO --- </v>
      </c>
      <c r="G7" s="58">
        <f t="shared" si="1"/>
        <v>-100</v>
      </c>
      <c r="H7" s="59">
        <f t="shared" si="3"/>
        <v>2530</v>
      </c>
      <c r="I7" s="82">
        <v>42375</v>
      </c>
      <c r="J7" s="44" t="s">
        <v>4</v>
      </c>
      <c r="K7" s="60">
        <v>-100</v>
      </c>
      <c r="L7" s="49" t="s">
        <v>5</v>
      </c>
      <c r="M7" s="45">
        <v>134.6</v>
      </c>
      <c r="N7" s="50"/>
      <c r="O7" s="46"/>
      <c r="P7" s="47"/>
      <c r="Q7" s="47"/>
      <c r="R7" s="47"/>
      <c r="S7" s="47"/>
      <c r="T7" s="47"/>
      <c r="U7" s="47"/>
      <c r="V7" s="47"/>
      <c r="W7" s="47"/>
    </row>
    <row r="8" spans="2:26" s="43" customFormat="1" ht="15.95" customHeight="1">
      <c r="B8" s="43" t="s">
        <v>39</v>
      </c>
      <c r="C8" s="44" t="s">
        <v>26</v>
      </c>
      <c r="D8" s="53" t="s">
        <v>18</v>
      </c>
      <c r="E8" s="57">
        <f t="shared" si="0"/>
        <v>42376</v>
      </c>
      <c r="F8" s="70" t="str">
        <f t="shared" si="2"/>
        <v xml:space="preserve">Compañía eléctrica --- RECIBO DE LUZ --- </v>
      </c>
      <c r="G8" s="58">
        <f t="shared" si="1"/>
        <v>-75</v>
      </c>
      <c r="H8" s="59">
        <f t="shared" si="3"/>
        <v>2455</v>
      </c>
      <c r="I8" s="82">
        <v>42376</v>
      </c>
      <c r="J8" s="44" t="s">
        <v>9</v>
      </c>
      <c r="K8" s="60">
        <v>-75</v>
      </c>
      <c r="L8" s="49" t="s">
        <v>5</v>
      </c>
      <c r="M8" s="45"/>
      <c r="N8" s="50">
        <v>1000</v>
      </c>
      <c r="O8" s="46"/>
      <c r="P8" s="47"/>
      <c r="Q8" s="47"/>
      <c r="R8" s="47"/>
      <c r="S8" s="47"/>
      <c r="T8" s="47"/>
      <c r="U8" s="47"/>
      <c r="V8" s="47"/>
      <c r="W8" s="47"/>
    </row>
    <row r="9" spans="2:26" ht="15.95" customHeight="1">
      <c r="B9" s="43" t="s">
        <v>38</v>
      </c>
      <c r="C9" s="44" t="s">
        <v>19</v>
      </c>
      <c r="D9" s="53" t="s">
        <v>18</v>
      </c>
      <c r="E9" s="57">
        <f t="shared" si="0"/>
        <v>42377</v>
      </c>
      <c r="F9" s="70" t="str">
        <f t="shared" si="2"/>
        <v xml:space="preserve">Saco del cajero --- REINTEGRO CAJERO AUTOMATICO --- </v>
      </c>
      <c r="G9" s="58">
        <f t="shared" si="1"/>
        <v>-150</v>
      </c>
      <c r="H9" s="59">
        <f t="shared" si="3"/>
        <v>2305</v>
      </c>
      <c r="I9" s="82">
        <v>42377</v>
      </c>
      <c r="J9" s="44" t="s">
        <v>4</v>
      </c>
      <c r="K9" s="60">
        <v>-150</v>
      </c>
      <c r="L9" s="49" t="s">
        <v>5</v>
      </c>
    </row>
    <row r="10" spans="2:26" ht="15.95" customHeight="1">
      <c r="B10" s="43" t="s">
        <v>40</v>
      </c>
      <c r="C10" s="44" t="s">
        <v>16</v>
      </c>
      <c r="D10" s="53" t="s">
        <v>18</v>
      </c>
      <c r="E10" s="57">
        <f t="shared" si="0"/>
        <v>42378</v>
      </c>
      <c r="F10" s="70" t="str">
        <f t="shared" si="2"/>
        <v xml:space="preserve">Gasolina --- CARGO COMPRA --- </v>
      </c>
      <c r="G10" s="58">
        <f t="shared" si="1"/>
        <v>-55</v>
      </c>
      <c r="H10" s="59">
        <f t="shared" si="3"/>
        <v>2250</v>
      </c>
      <c r="I10" s="82">
        <v>42378</v>
      </c>
      <c r="J10" s="44" t="s">
        <v>6</v>
      </c>
      <c r="K10" s="60">
        <v>-55</v>
      </c>
      <c r="L10" s="49" t="s">
        <v>5</v>
      </c>
    </row>
    <row r="11" spans="2:26" ht="15.95" customHeight="1">
      <c r="B11" s="43" t="s">
        <v>42</v>
      </c>
      <c r="C11" s="44" t="s">
        <v>41</v>
      </c>
      <c r="D11" s="53" t="s">
        <v>18</v>
      </c>
      <c r="E11" s="57">
        <f t="shared" si="0"/>
        <v>42379</v>
      </c>
      <c r="F11" s="70" t="str">
        <f t="shared" si="2"/>
        <v xml:space="preserve">Intereses --- ABONO DE INTERESES --- </v>
      </c>
      <c r="G11" s="58">
        <f t="shared" si="1"/>
        <v>0.12</v>
      </c>
      <c r="H11" s="59">
        <f t="shared" si="3"/>
        <v>2250.12</v>
      </c>
      <c r="I11" s="82">
        <v>42379</v>
      </c>
      <c r="J11" s="44" t="s">
        <v>8</v>
      </c>
      <c r="K11" s="60">
        <v>0.12</v>
      </c>
      <c r="L11" s="49" t="s">
        <v>5</v>
      </c>
    </row>
    <row r="12" spans="2:26" ht="15.95" customHeight="1">
      <c r="B12" s="43" t="s">
        <v>15</v>
      </c>
      <c r="C12" s="44" t="s">
        <v>17</v>
      </c>
      <c r="D12" s="53" t="s">
        <v>18</v>
      </c>
      <c r="E12" s="57">
        <f t="shared" si="0"/>
        <v>42380</v>
      </c>
      <c r="F12" s="70" t="str">
        <f t="shared" si="2"/>
        <v xml:space="preserve">amortización hipoteca --- CARGO AMORTIZACION PRESTAMO --- </v>
      </c>
      <c r="G12" s="58">
        <f t="shared" si="1"/>
        <v>-600</v>
      </c>
      <c r="H12" s="59">
        <f t="shared" si="3"/>
        <v>1650.12</v>
      </c>
      <c r="I12" s="82">
        <v>42380</v>
      </c>
      <c r="J12" s="44" t="s">
        <v>10</v>
      </c>
      <c r="K12" s="60">
        <v>-600</v>
      </c>
      <c r="L12" s="49" t="s">
        <v>5</v>
      </c>
    </row>
    <row r="13" spans="2:26" ht="15.95" customHeight="1">
      <c r="B13" s="43" t="s">
        <v>44</v>
      </c>
      <c r="C13" s="44" t="s">
        <v>22</v>
      </c>
      <c r="D13" s="53" t="s">
        <v>18</v>
      </c>
      <c r="E13" s="57">
        <f t="shared" si="0"/>
        <v>42382</v>
      </c>
      <c r="F13" s="70" t="str">
        <f t="shared" si="2"/>
        <v xml:space="preserve">Paso dinero a la cuenta ahorro --- TRANSFERENCIA A MI CUENTA AHORRO --- </v>
      </c>
      <c r="G13" s="58">
        <f t="shared" si="1"/>
        <v>-400</v>
      </c>
      <c r="H13" s="59">
        <f t="shared" si="3"/>
        <v>1250.1199999999999</v>
      </c>
      <c r="I13" s="82">
        <v>42382</v>
      </c>
      <c r="J13" s="44" t="s">
        <v>52</v>
      </c>
      <c r="K13" s="60">
        <v>-400</v>
      </c>
      <c r="L13" s="49" t="s">
        <v>5</v>
      </c>
    </row>
    <row r="14" spans="2:26" ht="15.95" customHeight="1">
      <c r="B14" s="43" t="s">
        <v>45</v>
      </c>
      <c r="C14" s="44" t="s">
        <v>21</v>
      </c>
      <c r="D14" s="53" t="s">
        <v>18</v>
      </c>
      <c r="E14" s="57">
        <f t="shared" si="0"/>
        <v>42383</v>
      </c>
      <c r="F14" s="70" t="str">
        <f t="shared" si="2"/>
        <v xml:space="preserve">Nómina --- INGRESO NÓMINA --- </v>
      </c>
      <c r="G14" s="58">
        <f t="shared" si="1"/>
        <v>1800</v>
      </c>
      <c r="H14" s="59">
        <f t="shared" si="3"/>
        <v>3050.12</v>
      </c>
      <c r="I14" s="82">
        <v>42383</v>
      </c>
      <c r="J14" s="44" t="s">
        <v>46</v>
      </c>
      <c r="K14" s="60">
        <v>1800</v>
      </c>
      <c r="L14" s="49" t="s">
        <v>5</v>
      </c>
    </row>
    <row r="15" spans="2:26" ht="15.95" customHeight="1">
      <c r="B15" s="43" t="s">
        <v>43</v>
      </c>
      <c r="C15" s="44" t="s">
        <v>23</v>
      </c>
      <c r="D15" s="53" t="s">
        <v>18</v>
      </c>
      <c r="E15" s="57">
        <f>I15</f>
        <v>42381</v>
      </c>
      <c r="F15" s="70" t="str">
        <f>CONCATENATE(    IF(ISBLANK(B15),"",CONCATENATE(B15," --- ")),    IF(ISBLANK(J15),"",CONCATENATE(J15," --- ")))</f>
        <v xml:space="preserve">Cargo tarjeta --- RECIBOS VARIOS --- </v>
      </c>
      <c r="G15" s="58">
        <f>VALUE(K15)</f>
        <v>-805</v>
      </c>
      <c r="H15" s="59">
        <f t="shared" si="3"/>
        <v>2245.12</v>
      </c>
      <c r="I15" s="82">
        <v>42381</v>
      </c>
      <c r="J15" s="44" t="s">
        <v>7</v>
      </c>
      <c r="K15" s="60">
        <v>-805</v>
      </c>
      <c r="L15" s="49" t="s">
        <v>5</v>
      </c>
    </row>
  </sheetData>
  <dataConsolidate/>
  <mergeCells count="2">
    <mergeCell ref="E1:G1"/>
    <mergeCell ref="I1:K1"/>
  </mergeCells>
  <conditionalFormatting sqref="C1:C1048576">
    <cfRule type="expression" dxfId="73" priority="4">
      <formula>AND(ISBLANK($C1),NOT(OR($G1=0,ISBLANK($G1))))</formula>
    </cfRule>
  </conditionalFormatting>
  <conditionalFormatting sqref="A1:Z1048576">
    <cfRule type="expression" dxfId="72" priority="3">
      <formula>AND(NOT(ISBLANK($Z$2)),SEARCH($Z$2,$F1))</formula>
    </cfRule>
    <cfRule type="expression" dxfId="71" priority="5" stopIfTrue="1">
      <formula>ROW($A1)&lt;=2</formula>
    </cfRule>
  </conditionalFormatting>
  <conditionalFormatting sqref="D1:D1048576">
    <cfRule type="expression" dxfId="70" priority="2">
      <formula>AND(ROW($D1)&gt;2,$D1&lt;&gt;"Y",NOT(OR($G1=0,ISBLANK($G1))))</formula>
    </cfRule>
  </conditionalFormatting>
  <dataValidations count="1">
    <dataValidation type="list" allowBlank="1" showInputMessage="1" showErrorMessage="1" sqref="C2:C1048576">
      <formula1>categories_list</formula1>
    </dataValidation>
  </dataValidations>
  <printOptions gridLines="1"/>
  <pageMargins left="0.75" right="0.75" top="1" bottom="1" header="0" footer="0"/>
  <pageSetup paperSize="9" pageOrder="overThenDown" orientation="landscape" blackAndWhite="1" r:id="rId1"/>
  <headerFooter alignWithMargins="0"/>
  <legacyDrawing r:id="rId2"/>
  <controls>
    <control shapeId="14337" r:id="rId3" name="Control 1"/>
    <control shapeId="14338" r:id="rId4" name="Control 2"/>
    <control shapeId="14339" r:id="rId5" name="Control 3"/>
    <control shapeId="14340" r:id="rId6" name="Control 4"/>
    <control shapeId="14341" r:id="rId7" name="Control 5"/>
    <control shapeId="14342" r:id="rId8" name="Control 6"/>
    <control shapeId="14343" r:id="rId9" name="Control 7"/>
    <control shapeId="14344" r:id="rId10" name="Control 8"/>
    <control shapeId="14345" r:id="rId11" name="Control 9"/>
    <control shapeId="14346" r:id="rId12" name="Control 10"/>
    <control shapeId="14347" r:id="rId13" name="Control 11"/>
    <control shapeId="14348" r:id="rId14" name="Control 12"/>
    <control shapeId="14349" r:id="rId15" name="Control 13"/>
    <control shapeId="14350" r:id="rId16" name="Control 14"/>
    <control shapeId="14351" r:id="rId17" name="Control 15"/>
    <control shapeId="14352" r:id="rId18" name="Control 16"/>
    <control shapeId="14353" r:id="rId19" name="Control 17"/>
    <control shapeId="14354" r:id="rId20" name="Control 18"/>
    <control shapeId="14355" r:id="rId21" name="Control 19"/>
    <control shapeId="14356" r:id="rId22" name="Control 20"/>
    <control shapeId="14357" r:id="rId23" name="Control 21"/>
    <control shapeId="14358" r:id="rId24" name="Control 22"/>
    <control shapeId="14359" r:id="rId25" name="Control 23"/>
    <control shapeId="14360" r:id="rId26" name="Control 24"/>
    <control shapeId="14361" r:id="rId27" name="Control 25"/>
    <control shapeId="14362" r:id="rId28" name="Control 2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control</vt:lpstr>
      <vt:lpstr>cash</vt:lpstr>
      <vt:lpstr>checking_account</vt:lpstr>
      <vt:lpstr>saving_account</vt:lpstr>
      <vt:lpstr>credit_card</vt:lpstr>
      <vt:lpstr>summaries</vt:lpstr>
      <vt:lpstr>formatos</vt:lpstr>
      <vt:lpstr>categories_list</vt:lpstr>
      <vt:lpstr>formatos!initial_balance_checking_account</vt:lpstr>
      <vt:lpstr>initial_balance_checking_account</vt:lpstr>
      <vt:lpstr>initial_balance_credit_card</vt:lpstr>
      <vt:lpstr>initial_balance_saving_account</vt:lpstr>
    </vt:vector>
  </TitlesOfParts>
  <Company>Mi Empresa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 Mismo</dc:creator>
  <cp:lastModifiedBy>pipo</cp:lastModifiedBy>
  <cp:lastPrinted>2007-01-23T19:06:38Z</cp:lastPrinted>
  <dcterms:created xsi:type="dcterms:W3CDTF">2004-01-29T07:57:00Z</dcterms:created>
  <dcterms:modified xsi:type="dcterms:W3CDTF">2016-03-08T13:49:51Z</dcterms:modified>
</cp:coreProperties>
</file>