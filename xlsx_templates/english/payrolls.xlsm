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640" yWindow="30" windowWidth="15180" windowHeight="9225" tabRatio="461" activeTab="1"/>
  </bookViews>
  <sheets>
    <sheet name="introduction" sheetId="2" r:id="rId1"/>
    <sheet name="payrolls" sheetId="1" r:id="rId2"/>
  </sheets>
  <functionGroups/>
  <definedNames>
    <definedName name="carpeta_exportacion_qif">payrolls!$H$1</definedName>
  </definedNames>
  <calcPr calcId="125725"/>
</workbook>
</file>

<file path=xl/calcChain.xml><?xml version="1.0" encoding="utf-8"?>
<calcChain xmlns="http://schemas.openxmlformats.org/spreadsheetml/2006/main">
  <c r="L4" i="1"/>
  <c r="L5"/>
  <c r="L6"/>
  <c r="L7"/>
  <c r="L8"/>
  <c r="L9"/>
  <c r="L10"/>
  <c r="L11"/>
  <c r="L12"/>
  <c r="L13"/>
  <c r="L14"/>
  <c r="L15"/>
  <c r="G4"/>
  <c r="I4" s="1"/>
  <c r="G5"/>
  <c r="G6"/>
  <c r="I6" s="1"/>
  <c r="G7"/>
  <c r="I7" s="1"/>
  <c r="G8"/>
  <c r="I8" s="1"/>
  <c r="G9"/>
  <c r="I9" s="1"/>
  <c r="G10"/>
  <c r="I10" s="1"/>
  <c r="G11"/>
  <c r="I11" s="1"/>
  <c r="G12"/>
  <c r="I12" s="1"/>
  <c r="G13"/>
  <c r="I13" s="1"/>
  <c r="G14"/>
  <c r="I14" s="1"/>
  <c r="G15"/>
  <c r="I15" s="1"/>
  <c r="G16" l="1"/>
  <c r="I5"/>
  <c r="H14"/>
  <c r="H12"/>
  <c r="H10"/>
  <c r="H8"/>
  <c r="H6"/>
  <c r="H4"/>
  <c r="H15"/>
  <c r="H13"/>
  <c r="H11"/>
  <c r="H9"/>
  <c r="H7"/>
  <c r="H5"/>
  <c r="J4" l="1"/>
  <c r="H16"/>
  <c r="I16"/>
  <c r="J11"/>
  <c r="J7"/>
  <c r="J12"/>
  <c r="J8"/>
  <c r="J13"/>
  <c r="J9"/>
  <c r="J5"/>
  <c r="J14"/>
  <c r="J10"/>
  <c r="J6"/>
  <c r="K11" l="1"/>
  <c r="K9"/>
  <c r="K6"/>
  <c r="K4"/>
  <c r="K7"/>
  <c r="K10"/>
  <c r="J15"/>
  <c r="K15" s="1"/>
  <c r="K13"/>
  <c r="K8"/>
  <c r="K5"/>
  <c r="K12"/>
  <c r="K14"/>
  <c r="J16" l="1"/>
  <c r="K16"/>
</calcChain>
</file>

<file path=xl/sharedStrings.xml><?xml version="1.0" encoding="utf-8"?>
<sst xmlns="http://schemas.openxmlformats.org/spreadsheetml/2006/main" count="36" uniqueCount="25">
  <si>
    <t>QIF</t>
  </si>
  <si>
    <t>Exported</t>
  </si>
  <si>
    <t>Date</t>
  </si>
  <si>
    <t>Main</t>
  </si>
  <si>
    <t>Memo</t>
  </si>
  <si>
    <t>Y</t>
  </si>
  <si>
    <t>Total</t>
  </si>
  <si>
    <t>C:\qif-import</t>
  </si>
  <si>
    <t>n</t>
  </si>
  <si>
    <t>This software is 
Open Source and Freeware</t>
  </si>
  <si>
    <t>https://github.com/OneClickToQif/OneClickToQif</t>
  </si>
  <si>
    <t>Already exported?</t>
  </si>
  <si>
    <t>Annual gross salary</t>
  </si>
  <si>
    <t>% Social Security</t>
  </si>
  <si>
    <t>% Personal Income Tax</t>
  </si>
  <si>
    <t>Income - Global salary</t>
  </si>
  <si>
    <t>Asset: Withholding Income Tax (neg)</t>
  </si>
  <si>
    <t>Expense - Social Security Tax (neg)</t>
  </si>
  <si>
    <t>Social Security Tax</t>
  </si>
  <si>
    <t>Withholding Income Tax</t>
  </si>
  <si>
    <t>Total to be deducted</t>
  </si>
  <si>
    <t>Total to be received</t>
  </si>
  <si>
    <t>Comment</t>
  </si>
  <si>
    <t>Monthly Global Salary</t>
  </si>
  <si>
    <t>Folder for exported QIF files:</t>
  </si>
</sst>
</file>

<file path=xl/styles.xml><?xml version="1.0" encoding="utf-8"?>
<styleSheet xmlns="http://schemas.openxmlformats.org/spreadsheetml/2006/main">
  <numFmts count="3">
    <numFmt numFmtId="164" formatCode="_-* #,##0.00\ [$€-1]_-;\-* #,##0.00\ [$€-1]_-;_-* &quot;-&quot;??\ [$€-1]_-"/>
    <numFmt numFmtId="165" formatCode="#,##0\ &quot;pta&quot;"/>
    <numFmt numFmtId="166" formatCode="[$-409]mmmm\ d\,\ yyyy;@"/>
  </numFmts>
  <fonts count="12">
    <font>
      <sz val="10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0"/>
      <name val="Arial"/>
      <family val="2"/>
    </font>
    <font>
      <b/>
      <sz val="12"/>
      <color indexed="17"/>
      <name val="Arial"/>
      <family val="2"/>
    </font>
    <font>
      <b/>
      <sz val="12"/>
      <color theme="6" tint="-0.499984740745262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u/>
      <sz val="7"/>
      <color theme="10"/>
      <name val="Arial"/>
      <family val="2"/>
    </font>
    <font>
      <b/>
      <u/>
      <sz val="18"/>
      <color theme="10"/>
      <name val="Arial"/>
      <family val="2"/>
    </font>
    <font>
      <b/>
      <sz val="1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5">
    <xf numFmtId="0" fontId="0" fillId="0" borderId="0" xfId="0"/>
    <xf numFmtId="2" fontId="2" fillId="0" borderId="0" xfId="1" applyNumberFormat="1" applyFont="1" applyFill="1" applyBorder="1"/>
    <xf numFmtId="2" fontId="5" fillId="0" borderId="0" xfId="1" applyNumberFormat="1" applyFont="1" applyFill="1" applyBorder="1"/>
    <xf numFmtId="0" fontId="2" fillId="0" borderId="0" xfId="0" applyFont="1" applyBorder="1"/>
    <xf numFmtId="10" fontId="2" fillId="0" borderId="0" xfId="2" applyNumberFormat="1" applyFont="1" applyFill="1" applyBorder="1"/>
    <xf numFmtId="0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/>
    <xf numFmtId="0" fontId="3" fillId="2" borderId="1" xfId="0" applyFont="1" applyFill="1" applyBorder="1" applyAlignment="1">
      <alignment horizontal="center" wrapText="1"/>
    </xf>
    <xf numFmtId="165" fontId="3" fillId="2" borderId="1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 wrapText="1"/>
    </xf>
    <xf numFmtId="2" fontId="3" fillId="0" borderId="0" xfId="1" applyNumberFormat="1" applyFont="1" applyFill="1" applyBorder="1" applyAlignment="1">
      <alignment vertical="center"/>
    </xf>
    <xf numFmtId="0" fontId="3" fillId="3" borderId="0" xfId="0" applyNumberFormat="1" applyFont="1" applyFill="1"/>
    <xf numFmtId="10" fontId="2" fillId="0" borderId="0" xfId="0" applyNumberFormat="1" applyFont="1" applyFill="1" applyBorder="1"/>
    <xf numFmtId="2" fontId="3" fillId="0" borderId="0" xfId="0" applyNumberFormat="1" applyFont="1" applyFill="1" applyBorder="1"/>
    <xf numFmtId="0" fontId="4" fillId="0" borderId="0" xfId="0" applyFont="1" applyFill="1" applyBorder="1"/>
    <xf numFmtId="0" fontId="2" fillId="0" borderId="0" xfId="0" applyFont="1" applyFill="1" applyBorder="1"/>
    <xf numFmtId="14" fontId="3" fillId="0" borderId="0" xfId="0" applyNumberFormat="1" applyFont="1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/>
    </xf>
    <xf numFmtId="0" fontId="0" fillId="0" borderId="0" xfId="0" applyFill="1"/>
    <xf numFmtId="2" fontId="3" fillId="3" borderId="0" xfId="0" applyNumberFormat="1" applyFont="1" applyFill="1"/>
    <xf numFmtId="0" fontId="10" fillId="0" borderId="0" xfId="4" applyFont="1" applyAlignment="1" applyProtection="1">
      <alignment vertical="center"/>
    </xf>
    <xf numFmtId="0" fontId="11" fillId="0" borderId="0" xfId="0" applyFont="1" applyAlignment="1">
      <alignment vertical="center"/>
    </xf>
    <xf numFmtId="166" fontId="3" fillId="2" borderId="1" xfId="0" applyNumberFormat="1" applyFont="1" applyFill="1" applyBorder="1" applyAlignment="1">
      <alignment horizontal="center" wrapText="1"/>
    </xf>
    <xf numFmtId="166" fontId="3" fillId="2" borderId="1" xfId="0" applyNumberFormat="1" applyFont="1" applyFill="1" applyBorder="1" applyAlignment="1">
      <alignment horizontal="center" vertical="center" textRotation="90" wrapText="1"/>
    </xf>
    <xf numFmtId="166" fontId="6" fillId="2" borderId="1" xfId="0" applyNumberFormat="1" applyFont="1" applyFill="1" applyBorder="1" applyAlignment="1">
      <alignment horizontal="center" vertical="center" textRotation="90" wrapText="1"/>
    </xf>
    <xf numFmtId="166" fontId="2" fillId="0" borderId="0" xfId="0" applyNumberFormat="1" applyFont="1" applyFill="1" applyBorder="1" applyAlignment="1">
      <alignment horizontal="center"/>
    </xf>
    <xf numFmtId="166" fontId="3" fillId="3" borderId="0" xfId="0" applyNumberFormat="1" applyFont="1" applyFill="1"/>
    <xf numFmtId="166" fontId="3" fillId="0" borderId="0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3" fillId="2" borderId="2" xfId="0" applyFont="1" applyFill="1" applyBorder="1" applyAlignment="1">
      <alignment horizontal="right" wrapText="1"/>
    </xf>
    <xf numFmtId="0" fontId="3" fillId="2" borderId="3" xfId="0" applyFont="1" applyFill="1" applyBorder="1" applyAlignment="1">
      <alignment horizontal="right" wrapText="1"/>
    </xf>
    <xf numFmtId="0" fontId="3" fillId="2" borderId="4" xfId="0" applyFont="1" applyFill="1" applyBorder="1" applyAlignment="1">
      <alignment horizontal="right" wrapText="1"/>
    </xf>
    <xf numFmtId="0" fontId="3" fillId="4" borderId="2" xfId="0" applyFont="1" applyFill="1" applyBorder="1" applyAlignment="1">
      <alignment horizontal="left" wrapText="1"/>
    </xf>
    <xf numFmtId="0" fontId="3" fillId="4" borderId="3" xfId="0" applyFont="1" applyFill="1" applyBorder="1" applyAlignment="1">
      <alignment horizontal="left" wrapText="1"/>
    </xf>
    <xf numFmtId="0" fontId="3" fillId="4" borderId="4" xfId="0" applyFont="1" applyFill="1" applyBorder="1" applyAlignment="1">
      <alignment horizontal="left" wrapText="1"/>
    </xf>
  </cellXfs>
  <cellStyles count="5">
    <cellStyle name="Euro" xfId="1"/>
    <cellStyle name="Hipervínculo" xfId="4" builtinId="8"/>
    <cellStyle name="Normal" xfId="0" builtinId="0"/>
    <cellStyle name="Normal 2" xfId="3"/>
    <cellStyle name="Porcentual" xfId="2" builtinId="5"/>
  </cellStyles>
  <dxfs count="27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6" formatCode="[$-409]mmmm\ d\,\ yyyy;@"/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4" formatCode="0.00%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17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166" formatCode="[$-409]mmmm\ d\,\ yyyy;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5" tint="0.39997558519241921"/>
        </patternFill>
      </fill>
    </dxf>
    <dxf>
      <font>
        <outline val="0"/>
        <shadow val="0"/>
        <u val="none"/>
        <vertAlign val="baseline"/>
        <sz val="12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6" tint="-0.499984740745262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9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5</xdr:row>
      <xdr:rowOff>9525</xdr:rowOff>
    </xdr:from>
    <xdr:to>
      <xdr:col>5</xdr:col>
      <xdr:colOff>542925</xdr:colOff>
      <xdr:row>33</xdr:row>
      <xdr:rowOff>123825</xdr:rowOff>
    </xdr:to>
    <xdr:pic>
      <xdr:nvPicPr>
        <xdr:cNvPr id="2" name="1 Imagen" descr="logo_with_link.g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19150" y="1638300"/>
          <a:ext cx="5276850" cy="4648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a_nominas" displayName="tabla_nominas" ref="B3:L16" totalsRowCount="1" headerRowDxfId="25" dataDxfId="23" totalsRowDxfId="22" headerRowBorderDxfId="24">
  <autoFilter ref="B3:L15"/>
  <tableColumns count="11">
    <tableColumn id="1" name="Date" totalsRowLabel="Total" dataDxfId="21" totalsRowDxfId="10"/>
    <tableColumn id="37" name="Already exported?" dataDxfId="20" totalsRowDxfId="9"/>
    <tableColumn id="4" name="Annual gross salary" dataDxfId="19" totalsRowDxfId="8" dataCellStyle="Euro"/>
    <tableColumn id="25" name="% Social Security" dataDxfId="18" totalsRowDxfId="7" dataCellStyle="Euro"/>
    <tableColumn id="32" name="% Personal Income Tax" dataDxfId="17" totalsRowDxfId="6" dataCellStyle="Porcentual"/>
    <tableColumn id="6" name="Monthly Global Salary" totalsRowFunction="sum" dataDxfId="16" totalsRowDxfId="5" dataCellStyle="Euro">
      <calculatedColumnFormula>[Annual gross salary]/12</calculatedColumnFormula>
    </tableColumn>
    <tableColumn id="29" name="Withholding Income Tax" totalsRowFunction="sum" dataDxfId="15" totalsRowDxfId="4" dataCellStyle="Euro">
      <calculatedColumnFormula>ROUND([Monthly Global Salary]*[% Personal Income Tax],2)</calculatedColumnFormula>
    </tableColumn>
    <tableColumn id="20" name="Social Security Tax" totalsRowFunction="sum" dataDxfId="14" totalsRowDxfId="3" dataCellStyle="Euro">
      <calculatedColumnFormula>[% Social Security]*[Monthly Global Salary]</calculatedColumnFormula>
    </tableColumn>
    <tableColumn id="16" name="Total to be deducted" totalsRowFunction="sum" dataDxfId="13" totalsRowDxfId="2" dataCellStyle="Euro">
      <calculatedColumnFormula>[Social Security Tax]+[Withholding Income Tax]</calculatedColumnFormula>
    </tableColumn>
    <tableColumn id="15" name="Total to be received" totalsRowFunction="sum" dataDxfId="12" totalsRowDxfId="1" dataCellStyle="Euro">
      <calculatedColumnFormula>ROUND([Monthly Global Salary]-[Total to be deducted],2)</calculatedColumnFormula>
    </tableColumn>
    <tableColumn id="5" name="Comment" dataDxfId="11" totalsRowDxfId="0" dataCellStyle="Euro">
      <calculatedColumnFormula>"Payroll for " &amp;TEXT([Date],"MM-aaaa")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OneClickToQif/OneClickToQi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B1:F3"/>
  <sheetViews>
    <sheetView workbookViewId="0">
      <selection activeCell="A3" sqref="A3"/>
    </sheetView>
  </sheetViews>
  <sheetFormatPr baseColWidth="10" defaultRowHeight="12.75"/>
  <cols>
    <col min="2" max="2" width="37.5703125" customWidth="1"/>
  </cols>
  <sheetData>
    <row r="1" spans="2:6" s="21" customFormat="1" ht="54" customHeight="1">
      <c r="B1" s="28" t="s">
        <v>9</v>
      </c>
      <c r="C1" s="28"/>
      <c r="D1" s="28"/>
      <c r="E1" s="28"/>
      <c r="F1" s="28"/>
    </row>
    <row r="2" spans="2:6" ht="25.5" customHeight="1"/>
    <row r="3" spans="2:6" ht="23.25">
      <c r="B3" s="20" t="s">
        <v>10</v>
      </c>
    </row>
  </sheetData>
  <mergeCells count="1">
    <mergeCell ref="B1:F1"/>
  </mergeCells>
  <hyperlinks>
    <hyperlink ref="B3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>
    <outlinePr summaryRight="0"/>
  </sheetPr>
  <dimension ref="A1:M109"/>
  <sheetViews>
    <sheetView tabSelected="1" zoomScale="90" zoomScaleNormal="90" workbookViewId="0">
      <pane xSplit="2" ySplit="3" topLeftCell="C4" activePane="bottomRight" state="frozenSplit"/>
      <selection activeCell="A4" sqref="A4:IV4"/>
      <selection pane="topRight" activeCell="B1" sqref="B1"/>
      <selection pane="bottomLeft" activeCell="A19" sqref="A19"/>
      <selection pane="bottomRight" activeCell="E1" sqref="E1:G1"/>
    </sheetView>
  </sheetViews>
  <sheetFormatPr baseColWidth="10" defaultColWidth="11.42578125" defaultRowHeight="15.75" outlineLevelRow="1"/>
  <cols>
    <col min="1" max="1" width="5.140625" style="15" customWidth="1"/>
    <col min="2" max="2" width="23.28515625" style="27" customWidth="1"/>
    <col min="3" max="3" width="8.28515625" style="16" customWidth="1"/>
    <col min="4" max="4" width="16.140625" style="17" customWidth="1"/>
    <col min="5" max="6" width="11.42578125" style="18"/>
    <col min="7" max="7" width="13.42578125" customWidth="1"/>
    <col min="8" max="8" width="12.85546875" customWidth="1"/>
    <col min="9" max="9" width="14" customWidth="1"/>
    <col min="10" max="10" width="14.140625" style="3" customWidth="1"/>
    <col min="11" max="11" width="12.7109375" customWidth="1"/>
    <col min="12" max="12" width="29.42578125" customWidth="1"/>
    <col min="13" max="13" width="24.140625" customWidth="1"/>
    <col min="14" max="14" width="24.42578125" style="3" customWidth="1"/>
    <col min="15" max="15" width="106.42578125" style="3" bestFit="1" customWidth="1"/>
    <col min="16" max="16" width="13.42578125" style="3" bestFit="1" customWidth="1"/>
    <col min="17" max="16384" width="11.42578125" style="3"/>
  </cols>
  <sheetData>
    <row r="1" spans="1:13" s="7" customFormat="1" ht="30" customHeight="1" outlineLevel="1">
      <c r="B1" s="22"/>
      <c r="E1" s="29" t="s">
        <v>24</v>
      </c>
      <c r="F1" s="30"/>
      <c r="G1" s="31"/>
      <c r="H1" s="32" t="s">
        <v>7</v>
      </c>
      <c r="I1" s="33"/>
      <c r="J1" s="33"/>
      <c r="K1" s="33"/>
      <c r="L1" s="34"/>
    </row>
    <row r="2" spans="1:13" s="8" customFormat="1" ht="125.25" customHeight="1" outlineLevel="1">
      <c r="A2" s="8" t="s">
        <v>0</v>
      </c>
      <c r="B2" s="23" t="s">
        <v>2</v>
      </c>
      <c r="C2" s="8" t="s">
        <v>1</v>
      </c>
      <c r="G2" s="8" t="s">
        <v>15</v>
      </c>
      <c r="H2" s="8" t="s">
        <v>16</v>
      </c>
      <c r="I2" s="8" t="s">
        <v>17</v>
      </c>
      <c r="K2" s="8" t="s">
        <v>3</v>
      </c>
      <c r="L2" s="8" t="s">
        <v>4</v>
      </c>
    </row>
    <row r="3" spans="1:13" s="9" customFormat="1" ht="96.75" customHeight="1">
      <c r="B3" s="24" t="s">
        <v>2</v>
      </c>
      <c r="C3" s="9" t="s">
        <v>11</v>
      </c>
      <c r="D3" s="9" t="s">
        <v>12</v>
      </c>
      <c r="E3" s="9" t="s">
        <v>13</v>
      </c>
      <c r="F3" s="9" t="s">
        <v>14</v>
      </c>
      <c r="G3" s="9" t="s">
        <v>23</v>
      </c>
      <c r="H3" s="9" t="s">
        <v>19</v>
      </c>
      <c r="I3" s="9" t="s">
        <v>18</v>
      </c>
      <c r="J3" s="9" t="s">
        <v>20</v>
      </c>
      <c r="K3" s="9" t="s">
        <v>21</v>
      </c>
      <c r="L3" s="9" t="s">
        <v>22</v>
      </c>
    </row>
    <row r="4" spans="1:13" s="6" customFormat="1">
      <c r="A4" s="14"/>
      <c r="B4" s="25">
        <v>42035</v>
      </c>
      <c r="C4" s="5" t="s">
        <v>5</v>
      </c>
      <c r="D4" s="2">
        <v>48000</v>
      </c>
      <c r="E4" s="12">
        <v>0.06</v>
      </c>
      <c r="F4" s="4">
        <v>0.25</v>
      </c>
      <c r="G4" s="13">
        <f>[Annual gross salary]/12</f>
        <v>4000</v>
      </c>
      <c r="H4" s="1">
        <f>ROUND([Monthly Global Salary]*[% Personal Income Tax],2)</f>
        <v>1000</v>
      </c>
      <c r="I4" s="1">
        <f>[% Social Security]*[Monthly Global Salary]</f>
        <v>240</v>
      </c>
      <c r="J4" s="1">
        <f>[Social Security Tax]+[Withholding Income Tax]</f>
        <v>1240</v>
      </c>
      <c r="K4" s="10">
        <f>ROUND([Monthly Global Salary]-[Total to be deducted],2)</f>
        <v>2760</v>
      </c>
      <c r="L4" s="1" t="str">
        <f>"Payroll for " &amp;TEXT([Date],"MM-aaaa")</f>
        <v>Payroll for 01-2015</v>
      </c>
    </row>
    <row r="5" spans="1:13" s="6" customFormat="1">
      <c r="A5" s="14"/>
      <c r="B5" s="25">
        <v>42063</v>
      </c>
      <c r="C5" s="5" t="s">
        <v>5</v>
      </c>
      <c r="D5" s="2">
        <v>48000</v>
      </c>
      <c r="E5" s="12">
        <v>0.06</v>
      </c>
      <c r="F5" s="4">
        <v>0.25</v>
      </c>
      <c r="G5" s="13">
        <f>[Annual gross salary]/12</f>
        <v>4000</v>
      </c>
      <c r="H5" s="1">
        <f>ROUND([Monthly Global Salary]*[% Personal Income Tax],2)</f>
        <v>1000</v>
      </c>
      <c r="I5" s="1">
        <f>[% Social Security]*[Monthly Global Salary]</f>
        <v>240</v>
      </c>
      <c r="J5" s="1">
        <f>[Social Security Tax]+[Withholding Income Tax]</f>
        <v>1240</v>
      </c>
      <c r="K5" s="10">
        <f>ROUND([Monthly Global Salary]-[Total to be deducted],2)</f>
        <v>2760</v>
      </c>
      <c r="L5" s="1" t="str">
        <f>"Payroll for " &amp;TEXT([Date],"MM-aaaa")</f>
        <v>Payroll for 02-2015</v>
      </c>
    </row>
    <row r="6" spans="1:13" s="6" customFormat="1">
      <c r="A6" s="14"/>
      <c r="B6" s="25">
        <v>42093</v>
      </c>
      <c r="C6" s="5" t="s">
        <v>5</v>
      </c>
      <c r="D6" s="2">
        <v>48000</v>
      </c>
      <c r="E6" s="12">
        <v>0.06</v>
      </c>
      <c r="F6" s="4">
        <v>0.25</v>
      </c>
      <c r="G6" s="13">
        <f>[Annual gross salary]/12</f>
        <v>4000</v>
      </c>
      <c r="H6" s="1">
        <f>ROUND([Monthly Global Salary]*[% Personal Income Tax],2)</f>
        <v>1000</v>
      </c>
      <c r="I6" s="1">
        <f>[% Social Security]*[Monthly Global Salary]</f>
        <v>240</v>
      </c>
      <c r="J6" s="1">
        <f>[Social Security Tax]+[Withholding Income Tax]</f>
        <v>1240</v>
      </c>
      <c r="K6" s="10">
        <f>ROUND([Monthly Global Salary]-[Total to be deducted],2)</f>
        <v>2760</v>
      </c>
      <c r="L6" s="1" t="str">
        <f>"Payroll for " &amp;TEXT([Date],"MM-aaaa")</f>
        <v>Payroll for 03-2015</v>
      </c>
    </row>
    <row r="7" spans="1:13">
      <c r="B7" s="25">
        <v>42124</v>
      </c>
      <c r="C7" s="5" t="s">
        <v>5</v>
      </c>
      <c r="D7" s="2">
        <v>48000</v>
      </c>
      <c r="E7" s="12">
        <v>0.06</v>
      </c>
      <c r="F7" s="4">
        <v>0.25</v>
      </c>
      <c r="G7" s="13">
        <f>[Annual gross salary]/12</f>
        <v>4000</v>
      </c>
      <c r="H7" s="1">
        <f>ROUND([Monthly Global Salary]*[% Personal Income Tax],2)</f>
        <v>1000</v>
      </c>
      <c r="I7" s="1">
        <f>[% Social Security]*[Monthly Global Salary]</f>
        <v>240</v>
      </c>
      <c r="J7" s="1">
        <f>[Social Security Tax]+[Withholding Income Tax]</f>
        <v>1240</v>
      </c>
      <c r="K7" s="10">
        <f>ROUND([Monthly Global Salary]-[Total to be deducted],2)</f>
        <v>2760</v>
      </c>
      <c r="L7" s="1" t="str">
        <f>"Payroll for " &amp;TEXT([Date],"MM-aaaa")</f>
        <v>Payroll for 04-2015</v>
      </c>
      <c r="M7" s="3"/>
    </row>
    <row r="8" spans="1:13" s="6" customFormat="1">
      <c r="A8" s="14"/>
      <c r="B8" s="25">
        <v>42154</v>
      </c>
      <c r="C8" s="5" t="s">
        <v>5</v>
      </c>
      <c r="D8" s="2">
        <v>48000</v>
      </c>
      <c r="E8" s="12">
        <v>0.06</v>
      </c>
      <c r="F8" s="4">
        <v>0.25</v>
      </c>
      <c r="G8" s="13">
        <f>[Annual gross salary]/12</f>
        <v>4000</v>
      </c>
      <c r="H8" s="1">
        <f>ROUND([Monthly Global Salary]*[% Personal Income Tax],2)</f>
        <v>1000</v>
      </c>
      <c r="I8" s="1">
        <f>[% Social Security]*[Monthly Global Salary]</f>
        <v>240</v>
      </c>
      <c r="J8" s="1">
        <f>[Social Security Tax]+[Withholding Income Tax]</f>
        <v>1240</v>
      </c>
      <c r="K8" s="10">
        <f>ROUND([Monthly Global Salary]-[Total to be deducted],2)</f>
        <v>2760</v>
      </c>
      <c r="L8" s="1" t="str">
        <f>"Payroll for " &amp;TEXT([Date],"MM-aaaa")</f>
        <v>Payroll for 05-2015</v>
      </c>
    </row>
    <row r="9" spans="1:13" s="6" customFormat="1">
      <c r="A9" s="14"/>
      <c r="B9" s="25">
        <v>42185</v>
      </c>
      <c r="C9" s="5" t="s">
        <v>5</v>
      </c>
      <c r="D9" s="2">
        <v>48000</v>
      </c>
      <c r="E9" s="12">
        <v>0.06</v>
      </c>
      <c r="F9" s="4">
        <v>0.25</v>
      </c>
      <c r="G9" s="13">
        <f>[Annual gross salary]/12</f>
        <v>4000</v>
      </c>
      <c r="H9" s="1">
        <f>ROUND([Monthly Global Salary]*[% Personal Income Tax],2)</f>
        <v>1000</v>
      </c>
      <c r="I9" s="1">
        <f>[% Social Security]*[Monthly Global Salary]</f>
        <v>240</v>
      </c>
      <c r="J9" s="1">
        <f>[Social Security Tax]+[Withholding Income Tax]</f>
        <v>1240</v>
      </c>
      <c r="K9" s="10">
        <f>ROUND([Monthly Global Salary]-[Total to be deducted],2)</f>
        <v>2760</v>
      </c>
      <c r="L9" s="1" t="str">
        <f>"Payroll for " &amp;TEXT([Date],"MM-aaaa")</f>
        <v>Payroll for 06-2015</v>
      </c>
    </row>
    <row r="10" spans="1:13" s="6" customFormat="1">
      <c r="A10" s="14"/>
      <c r="B10" s="25">
        <v>42215</v>
      </c>
      <c r="C10" s="5" t="s">
        <v>5</v>
      </c>
      <c r="D10" s="2">
        <v>48000</v>
      </c>
      <c r="E10" s="12">
        <v>0.06</v>
      </c>
      <c r="F10" s="4">
        <v>0.25</v>
      </c>
      <c r="G10" s="13">
        <f>[Annual gross salary]/12</f>
        <v>4000</v>
      </c>
      <c r="H10" s="1">
        <f>ROUND([Monthly Global Salary]*[% Personal Income Tax],2)</f>
        <v>1000</v>
      </c>
      <c r="I10" s="1">
        <f>[% Social Security]*[Monthly Global Salary]</f>
        <v>240</v>
      </c>
      <c r="J10" s="1">
        <f>[Social Security Tax]+[Withholding Income Tax]</f>
        <v>1240</v>
      </c>
      <c r="K10" s="10">
        <f>ROUND([Monthly Global Salary]-[Total to be deducted],2)</f>
        <v>2760</v>
      </c>
      <c r="L10" s="1" t="str">
        <f>"Payroll for " &amp;TEXT([Date],"MM-aaaa")</f>
        <v>Payroll for 07-2015</v>
      </c>
    </row>
    <row r="11" spans="1:13" s="6" customFormat="1">
      <c r="A11" s="14"/>
      <c r="B11" s="25">
        <v>42246</v>
      </c>
      <c r="C11" s="5" t="s">
        <v>8</v>
      </c>
      <c r="D11" s="2">
        <v>48000</v>
      </c>
      <c r="E11" s="12">
        <v>0.06</v>
      </c>
      <c r="F11" s="4">
        <v>0.25</v>
      </c>
      <c r="G11" s="13">
        <f>[Annual gross salary]/12</f>
        <v>4000</v>
      </c>
      <c r="H11" s="1">
        <f>ROUND([Monthly Global Salary]*[% Personal Income Tax],2)</f>
        <v>1000</v>
      </c>
      <c r="I11" s="1">
        <f>[% Social Security]*[Monthly Global Salary]</f>
        <v>240</v>
      </c>
      <c r="J11" s="1">
        <f>[Social Security Tax]+[Withholding Income Tax]</f>
        <v>1240</v>
      </c>
      <c r="K11" s="10">
        <f>ROUND([Monthly Global Salary]-[Total to be deducted],2)</f>
        <v>2760</v>
      </c>
      <c r="L11" s="1" t="str">
        <f>"Payroll for " &amp;TEXT([Date],"MM-aaaa")</f>
        <v>Payroll for 08-2015</v>
      </c>
    </row>
    <row r="12" spans="1:13" s="6" customFormat="1">
      <c r="A12" s="14"/>
      <c r="B12" s="25">
        <v>42277</v>
      </c>
      <c r="C12" s="5" t="s">
        <v>8</v>
      </c>
      <c r="D12" s="2">
        <v>48000</v>
      </c>
      <c r="E12" s="12">
        <v>0.06</v>
      </c>
      <c r="F12" s="4">
        <v>0.25</v>
      </c>
      <c r="G12" s="13">
        <f>[Annual gross salary]/12</f>
        <v>4000</v>
      </c>
      <c r="H12" s="1">
        <f>ROUND([Monthly Global Salary]*[% Personal Income Tax],2)</f>
        <v>1000</v>
      </c>
      <c r="I12" s="1">
        <f>[% Social Security]*[Monthly Global Salary]</f>
        <v>240</v>
      </c>
      <c r="J12" s="1">
        <f>[Social Security Tax]+[Withholding Income Tax]</f>
        <v>1240</v>
      </c>
      <c r="K12" s="10">
        <f>ROUND([Monthly Global Salary]-[Total to be deducted],2)</f>
        <v>2760</v>
      </c>
      <c r="L12" s="1" t="str">
        <f>"Payroll for " &amp;TEXT([Date],"MM-aaaa")</f>
        <v>Payroll for 09-2015</v>
      </c>
    </row>
    <row r="13" spans="1:13" s="6" customFormat="1">
      <c r="A13" s="14"/>
      <c r="B13" s="25">
        <v>42308</v>
      </c>
      <c r="C13" s="5" t="s">
        <v>8</v>
      </c>
      <c r="D13" s="2">
        <v>48000</v>
      </c>
      <c r="E13" s="12">
        <v>0.06</v>
      </c>
      <c r="F13" s="4">
        <v>0.25</v>
      </c>
      <c r="G13" s="13">
        <f>[Annual gross salary]/12</f>
        <v>4000</v>
      </c>
      <c r="H13" s="1">
        <f>ROUND([Monthly Global Salary]*[% Personal Income Tax],2)</f>
        <v>1000</v>
      </c>
      <c r="I13" s="1">
        <f>[% Social Security]*[Monthly Global Salary]</f>
        <v>240</v>
      </c>
      <c r="J13" s="1">
        <f>[Social Security Tax]+[Withholding Income Tax]</f>
        <v>1240</v>
      </c>
      <c r="K13" s="10">
        <f>ROUND([Monthly Global Salary]-[Total to be deducted],2)</f>
        <v>2760</v>
      </c>
      <c r="L13" s="1" t="str">
        <f>"Payroll for " &amp;TEXT([Date],"MM-aaaa")</f>
        <v>Payroll for 10-2015</v>
      </c>
    </row>
    <row r="14" spans="1:13" s="6" customFormat="1">
      <c r="A14" s="14"/>
      <c r="B14" s="25">
        <v>42338</v>
      </c>
      <c r="C14" s="5" t="s">
        <v>8</v>
      </c>
      <c r="D14" s="2">
        <v>48000</v>
      </c>
      <c r="E14" s="12">
        <v>0.06</v>
      </c>
      <c r="F14" s="4">
        <v>0.25</v>
      </c>
      <c r="G14" s="13">
        <f>[Annual gross salary]/12</f>
        <v>4000</v>
      </c>
      <c r="H14" s="1">
        <f>ROUND([Monthly Global Salary]*[% Personal Income Tax],2)</f>
        <v>1000</v>
      </c>
      <c r="I14" s="1">
        <f>[% Social Security]*[Monthly Global Salary]</f>
        <v>240</v>
      </c>
      <c r="J14" s="1">
        <f>[Social Security Tax]+[Withholding Income Tax]</f>
        <v>1240</v>
      </c>
      <c r="K14" s="10">
        <f>ROUND([Monthly Global Salary]-[Total to be deducted],2)</f>
        <v>2760</v>
      </c>
      <c r="L14" s="1" t="str">
        <f>"Payroll for " &amp;TEXT([Date],"MM-aaaa")</f>
        <v>Payroll for 11-2015</v>
      </c>
    </row>
    <row r="15" spans="1:13">
      <c r="B15" s="25">
        <v>42369</v>
      </c>
      <c r="C15" s="5" t="s">
        <v>8</v>
      </c>
      <c r="D15" s="2">
        <v>48000</v>
      </c>
      <c r="E15" s="12">
        <v>0.06</v>
      </c>
      <c r="F15" s="4">
        <v>0.25</v>
      </c>
      <c r="G15" s="13">
        <f>[Annual gross salary]/12</f>
        <v>4000</v>
      </c>
      <c r="H15" s="1">
        <f>ROUND([Monthly Global Salary]*[% Personal Income Tax],2)</f>
        <v>1000</v>
      </c>
      <c r="I15" s="1">
        <f>[% Social Security]*[Monthly Global Salary]</f>
        <v>240</v>
      </c>
      <c r="J15" s="1">
        <f>[Social Security Tax]+[Withholding Income Tax]</f>
        <v>1240</v>
      </c>
      <c r="K15" s="10">
        <f>ROUND([Monthly Global Salary]-[Total to be deducted],2)</f>
        <v>2760</v>
      </c>
      <c r="L15" s="1" t="str">
        <f>"Payroll for " &amp;TEXT([Date],"MM-aaaa")</f>
        <v>Payroll for 12-2015</v>
      </c>
      <c r="M15" s="3"/>
    </row>
    <row r="16" spans="1:13" s="11" customFormat="1">
      <c r="B16" s="26" t="s">
        <v>6</v>
      </c>
      <c r="G16" s="19">
        <f>SUBTOTAL(109,[Monthly Global Salary])</f>
        <v>48000</v>
      </c>
      <c r="H16" s="19">
        <f>SUBTOTAL(109,[Withholding Income Tax])</f>
        <v>12000</v>
      </c>
      <c r="I16" s="19">
        <f>SUBTOTAL(109,[Social Security Tax])</f>
        <v>2880</v>
      </c>
      <c r="J16" s="19">
        <f>SUBTOTAL(109,[Total to be deducted])</f>
        <v>14880</v>
      </c>
      <c r="K16" s="19">
        <f>SUBTOTAL(109,[Total to be received])</f>
        <v>33120</v>
      </c>
      <c r="L16" s="19"/>
    </row>
    <row r="17" spans="5:11">
      <c r="E17" s="15"/>
      <c r="G17" s="3"/>
      <c r="K17" s="3"/>
    </row>
    <row r="18" spans="5:11">
      <c r="E18" s="15"/>
      <c r="G18" s="3"/>
      <c r="I18" s="3"/>
      <c r="K18" s="3"/>
    </row>
    <row r="19" spans="5:11">
      <c r="E19" s="15"/>
      <c r="K19" s="3"/>
    </row>
    <row r="20" spans="5:11">
      <c r="E20" s="15"/>
      <c r="K20" s="3"/>
    </row>
    <row r="21" spans="5:11">
      <c r="E21" s="15"/>
      <c r="K21" s="3"/>
    </row>
    <row r="22" spans="5:11">
      <c r="E22" s="15"/>
    </row>
    <row r="23" spans="5:11">
      <c r="E23" s="15"/>
    </row>
    <row r="24" spans="5:11">
      <c r="E24" s="15"/>
    </row>
    <row r="25" spans="5:11">
      <c r="E25" s="15"/>
    </row>
    <row r="26" spans="5:11">
      <c r="E26" s="15"/>
    </row>
    <row r="27" spans="5:11">
      <c r="E27" s="15"/>
    </row>
    <row r="28" spans="5:11">
      <c r="E28" s="15"/>
    </row>
    <row r="29" spans="5:11">
      <c r="E29" s="15"/>
    </row>
    <row r="30" spans="5:11">
      <c r="E30" s="15"/>
    </row>
    <row r="31" spans="5:11">
      <c r="E31" s="15"/>
    </row>
    <row r="32" spans="5:11">
      <c r="E32" s="15"/>
    </row>
    <row r="33" spans="5:5">
      <c r="E33" s="15"/>
    </row>
    <row r="34" spans="5:5">
      <c r="E34" s="15"/>
    </row>
    <row r="35" spans="5:5">
      <c r="E35" s="15"/>
    </row>
    <row r="36" spans="5:5">
      <c r="E36" s="15"/>
    </row>
    <row r="37" spans="5:5">
      <c r="E37" s="15"/>
    </row>
    <row r="38" spans="5:5">
      <c r="E38" s="15"/>
    </row>
    <row r="39" spans="5:5">
      <c r="E39" s="15"/>
    </row>
    <row r="40" spans="5:5">
      <c r="E40" s="15"/>
    </row>
    <row r="41" spans="5:5">
      <c r="E41" s="15"/>
    </row>
    <row r="42" spans="5:5">
      <c r="E42" s="15"/>
    </row>
    <row r="43" spans="5:5">
      <c r="E43" s="15"/>
    </row>
    <row r="44" spans="5:5">
      <c r="E44" s="15"/>
    </row>
    <row r="45" spans="5:5">
      <c r="E45" s="15"/>
    </row>
    <row r="46" spans="5:5">
      <c r="E46" s="15"/>
    </row>
    <row r="47" spans="5:5">
      <c r="E47" s="15"/>
    </row>
    <row r="48" spans="5:5">
      <c r="E48" s="15"/>
    </row>
    <row r="49" spans="5:5">
      <c r="E49" s="15"/>
    </row>
    <row r="50" spans="5:5">
      <c r="E50" s="15"/>
    </row>
    <row r="51" spans="5:5">
      <c r="E51" s="15"/>
    </row>
    <row r="52" spans="5:5">
      <c r="E52" s="15"/>
    </row>
    <row r="53" spans="5:5">
      <c r="E53" s="15"/>
    </row>
    <row r="54" spans="5:5">
      <c r="E54" s="15"/>
    </row>
    <row r="55" spans="5:5">
      <c r="E55" s="15"/>
    </row>
    <row r="56" spans="5:5">
      <c r="E56" s="15"/>
    </row>
    <row r="57" spans="5:5">
      <c r="E57" s="15"/>
    </row>
    <row r="58" spans="5:5">
      <c r="E58" s="15"/>
    </row>
    <row r="59" spans="5:5">
      <c r="E59" s="15"/>
    </row>
    <row r="60" spans="5:5">
      <c r="E60" s="15"/>
    </row>
    <row r="61" spans="5:5">
      <c r="E61" s="15"/>
    </row>
    <row r="62" spans="5:5">
      <c r="E62" s="15"/>
    </row>
    <row r="63" spans="5:5">
      <c r="E63" s="15"/>
    </row>
    <row r="64" spans="5:5">
      <c r="E64" s="15"/>
    </row>
    <row r="65" spans="5:5">
      <c r="E65" s="15"/>
    </row>
    <row r="66" spans="5:5">
      <c r="E66" s="15"/>
    </row>
    <row r="67" spans="5:5">
      <c r="E67" s="15"/>
    </row>
    <row r="68" spans="5:5">
      <c r="E68" s="15"/>
    </row>
    <row r="69" spans="5:5">
      <c r="E69" s="15"/>
    </row>
    <row r="70" spans="5:5">
      <c r="E70" s="15"/>
    </row>
    <row r="71" spans="5:5">
      <c r="E71" s="15"/>
    </row>
    <row r="72" spans="5:5">
      <c r="E72" s="15"/>
    </row>
    <row r="73" spans="5:5">
      <c r="E73" s="15"/>
    </row>
    <row r="74" spans="5:5">
      <c r="E74" s="15"/>
    </row>
    <row r="75" spans="5:5">
      <c r="E75" s="15"/>
    </row>
    <row r="76" spans="5:5">
      <c r="E76" s="15"/>
    </row>
    <row r="77" spans="5:5">
      <c r="E77" s="15"/>
    </row>
    <row r="78" spans="5:5">
      <c r="E78" s="15"/>
    </row>
    <row r="79" spans="5:5">
      <c r="E79" s="15"/>
    </row>
    <row r="80" spans="5:5">
      <c r="E80" s="15"/>
    </row>
    <row r="81" spans="5:5">
      <c r="E81" s="15"/>
    </row>
    <row r="82" spans="5:5">
      <c r="E82" s="15"/>
    </row>
    <row r="83" spans="5:5">
      <c r="E83" s="15"/>
    </row>
    <row r="84" spans="5:5">
      <c r="E84" s="15"/>
    </row>
    <row r="85" spans="5:5">
      <c r="E85" s="15"/>
    </row>
    <row r="86" spans="5:5">
      <c r="E86" s="15"/>
    </row>
    <row r="87" spans="5:5">
      <c r="E87" s="15"/>
    </row>
    <row r="88" spans="5:5">
      <c r="E88" s="15"/>
    </row>
    <row r="89" spans="5:5">
      <c r="E89" s="15"/>
    </row>
    <row r="90" spans="5:5">
      <c r="E90" s="15"/>
    </row>
    <row r="91" spans="5:5">
      <c r="E91" s="15"/>
    </row>
    <row r="92" spans="5:5">
      <c r="E92" s="15"/>
    </row>
    <row r="93" spans="5:5">
      <c r="E93" s="15"/>
    </row>
    <row r="94" spans="5:5">
      <c r="E94" s="15"/>
    </row>
    <row r="95" spans="5:5">
      <c r="E95" s="15"/>
    </row>
    <row r="96" spans="5:5">
      <c r="E96" s="15"/>
    </row>
    <row r="97" spans="5:5">
      <c r="E97" s="15"/>
    </row>
    <row r="98" spans="5:5">
      <c r="E98" s="15"/>
    </row>
    <row r="99" spans="5:5">
      <c r="E99" s="15"/>
    </row>
    <row r="100" spans="5:5">
      <c r="E100" s="15"/>
    </row>
    <row r="101" spans="5:5">
      <c r="E101" s="15"/>
    </row>
    <row r="102" spans="5:5">
      <c r="E102" s="15"/>
    </row>
    <row r="103" spans="5:5">
      <c r="E103" s="15"/>
    </row>
    <row r="104" spans="5:5">
      <c r="E104" s="15"/>
    </row>
    <row r="105" spans="5:5">
      <c r="E105" s="15"/>
    </row>
    <row r="106" spans="5:5">
      <c r="E106" s="15"/>
    </row>
    <row r="107" spans="5:5">
      <c r="E107" s="15"/>
    </row>
    <row r="108" spans="5:5">
      <c r="E108" s="15"/>
    </row>
    <row r="109" spans="5:5">
      <c r="E109" s="15"/>
    </row>
  </sheetData>
  <mergeCells count="2">
    <mergeCell ref="E1:G1"/>
    <mergeCell ref="H1:L1"/>
  </mergeCells>
  <phoneticPr fontId="0" type="noConversion"/>
  <conditionalFormatting sqref="C1:C1048576">
    <cfRule type="expression" dxfId="26" priority="1">
      <formula>AND(ROW($C1)&gt;3,$C1&lt;&gt;"Y",NOT(OR($D1=0,ISBLANK($D1))))</formula>
    </cfRule>
  </conditionalFormatting>
  <printOptions gridLines="1"/>
  <pageMargins left="0.39370078740157483" right="0.39370078740157483" top="0.39370078740157483" bottom="0.39370078740157483" header="0" footer="0"/>
  <pageSetup paperSize="9" scale="55" orientation="landscape" r:id="rId1"/>
  <headerFooter alignWithMargins="0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introduction</vt:lpstr>
      <vt:lpstr>payrolls</vt:lpstr>
      <vt:lpstr>carpeta_exportacion_qif</vt:lpstr>
    </vt:vector>
  </TitlesOfParts>
  <Company>Moi Productions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Moisés</dc:creator>
  <cp:lastModifiedBy>pipo</cp:lastModifiedBy>
  <cp:lastPrinted>2009-05-26T08:21:09Z</cp:lastPrinted>
  <dcterms:created xsi:type="dcterms:W3CDTF">2002-04-08T18:05:37Z</dcterms:created>
  <dcterms:modified xsi:type="dcterms:W3CDTF">2016-03-08T13:53:24Z</dcterms:modified>
</cp:coreProperties>
</file>